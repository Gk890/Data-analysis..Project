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opal\Downloads\"/>
    </mc:Choice>
  </mc:AlternateContent>
  <xr:revisionPtr revIDLastSave="0" documentId="13_ncr:1_{5E61641C-50AA-4626-93A2-5041181927B3}" xr6:coauthVersionLast="47" xr6:coauthVersionMax="47" xr10:uidLastSave="{00000000-0000-0000-0000-000000000000}"/>
  <bookViews>
    <workbookView xWindow="-108" yWindow="-108" windowWidth="23256" windowHeight="12456" activeTab="1" xr2:uid="{C0893FBD-34B3-420E-B0D6-EC330180DDEA}"/>
  </bookViews>
  <sheets>
    <sheet name="SalesData" sheetId="3" r:id="rId1"/>
    <sheet name="Sheet1" sheetId="4" r:id="rId2"/>
    <sheet name="Sheet2" sheetId="5" r:id="rId3"/>
    <sheet name="Sheet4" sheetId="7" state="hidden" r:id="rId4"/>
    <sheet name="Sheet6" sheetId="9" state="hidden" r:id="rId5"/>
    <sheet name="Sheet3" sheetId="6" state="hidden" r:id="rId6"/>
    <sheet name="Sheet5" sheetId="8" r:id="rId7"/>
  </sheets>
  <definedNames>
    <definedName name="Slicer_Date">#N/A</definedName>
    <definedName name="Slicer_Product">#N/A</definedName>
    <definedName name="Slicer_Region1">#N/A</definedName>
    <definedName name="Slicer_Sales_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3" l="1"/>
  <c r="K10" i="3"/>
  <c r="K7" i="3"/>
  <c r="K4"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2" i="3"/>
  <c r="H51" i="3"/>
  <c r="G51" i="3"/>
  <c r="F51" i="3"/>
  <c r="H50" i="3"/>
  <c r="G50" i="3"/>
  <c r="F50" i="3"/>
  <c r="H49" i="3"/>
  <c r="G49" i="3"/>
  <c r="F49" i="3"/>
  <c r="H48" i="3"/>
  <c r="G48" i="3"/>
  <c r="F48" i="3"/>
  <c r="H47" i="3"/>
  <c r="G47" i="3"/>
  <c r="F47" i="3"/>
  <c r="H46" i="3"/>
  <c r="G46" i="3"/>
  <c r="F46" i="3"/>
  <c r="H45" i="3"/>
  <c r="G45" i="3"/>
  <c r="F45" i="3"/>
  <c r="H44" i="3"/>
  <c r="G44" i="3"/>
  <c r="F44" i="3"/>
  <c r="H43" i="3"/>
  <c r="G43" i="3"/>
  <c r="F43" i="3"/>
  <c r="H42" i="3"/>
  <c r="G42" i="3"/>
  <c r="F42" i="3"/>
  <c r="H41" i="3"/>
  <c r="G41" i="3"/>
  <c r="F41" i="3"/>
  <c r="H40" i="3"/>
  <c r="G40" i="3"/>
  <c r="F40" i="3"/>
  <c r="H39" i="3"/>
  <c r="G39" i="3"/>
  <c r="F39" i="3"/>
  <c r="H38" i="3"/>
  <c r="G38" i="3"/>
  <c r="F38" i="3"/>
  <c r="H37" i="3"/>
  <c r="G37" i="3"/>
  <c r="F37" i="3"/>
  <c r="H36" i="3"/>
  <c r="G36" i="3"/>
  <c r="F36" i="3"/>
  <c r="H35" i="3"/>
  <c r="G35" i="3"/>
  <c r="F35" i="3"/>
  <c r="H34" i="3"/>
  <c r="G34" i="3"/>
  <c r="F34" i="3"/>
  <c r="H33" i="3"/>
  <c r="G33" i="3"/>
  <c r="F33" i="3"/>
  <c r="H32" i="3"/>
  <c r="G32" i="3"/>
  <c r="F32" i="3"/>
  <c r="H31" i="3"/>
  <c r="G31" i="3"/>
  <c r="F31" i="3"/>
  <c r="H30" i="3"/>
  <c r="G30" i="3"/>
  <c r="F30" i="3"/>
  <c r="H29" i="3"/>
  <c r="G29" i="3"/>
  <c r="F29" i="3"/>
  <c r="H28" i="3"/>
  <c r="G28" i="3"/>
  <c r="F28" i="3"/>
  <c r="H27" i="3"/>
  <c r="G27" i="3"/>
  <c r="F27" i="3"/>
  <c r="H26" i="3"/>
  <c r="G26" i="3"/>
  <c r="F26" i="3"/>
  <c r="H25" i="3"/>
  <c r="G25" i="3"/>
  <c r="F25" i="3"/>
  <c r="H24" i="3"/>
  <c r="G24" i="3"/>
  <c r="F24" i="3"/>
  <c r="H23" i="3"/>
  <c r="G23" i="3"/>
  <c r="F23" i="3"/>
  <c r="H22" i="3"/>
  <c r="G22" i="3"/>
  <c r="F22" i="3"/>
  <c r="H21" i="3"/>
  <c r="G21" i="3"/>
  <c r="F21" i="3"/>
  <c r="H20" i="3"/>
  <c r="G20" i="3"/>
  <c r="F20" i="3"/>
  <c r="H19" i="3"/>
  <c r="G19" i="3"/>
  <c r="F19" i="3"/>
  <c r="H18" i="3"/>
  <c r="G18" i="3"/>
  <c r="F18" i="3"/>
  <c r="H17" i="3"/>
  <c r="G17" i="3"/>
  <c r="F17" i="3"/>
  <c r="H16" i="3"/>
  <c r="G16" i="3"/>
  <c r="F16" i="3"/>
  <c r="H15" i="3"/>
  <c r="G15" i="3"/>
  <c r="F15" i="3"/>
  <c r="H14" i="3"/>
  <c r="G14" i="3"/>
  <c r="F14" i="3"/>
  <c r="H13" i="3"/>
  <c r="G13" i="3"/>
  <c r="F13" i="3"/>
  <c r="H12" i="3"/>
  <c r="G12" i="3"/>
  <c r="F12" i="3"/>
  <c r="H11" i="3"/>
  <c r="G11" i="3"/>
  <c r="F11" i="3"/>
  <c r="H10" i="3"/>
  <c r="G10" i="3"/>
  <c r="F10" i="3"/>
  <c r="H9" i="3"/>
  <c r="G9" i="3"/>
  <c r="F9" i="3"/>
  <c r="H8" i="3"/>
  <c r="G8" i="3"/>
  <c r="F8" i="3"/>
  <c r="H7" i="3"/>
  <c r="G7" i="3"/>
  <c r="F7" i="3"/>
  <c r="H6" i="3"/>
  <c r="G6" i="3"/>
  <c r="F6" i="3"/>
  <c r="H5" i="3"/>
  <c r="G5" i="3"/>
  <c r="F5" i="3"/>
  <c r="H4" i="3"/>
  <c r="G4" i="3"/>
  <c r="F4" i="3"/>
  <c r="H3" i="3"/>
  <c r="G3" i="3"/>
  <c r="F3" i="3"/>
  <c r="H2" i="3"/>
  <c r="G2" i="3"/>
  <c r="F2" i="3"/>
</calcChain>
</file>

<file path=xl/sharedStrings.xml><?xml version="1.0" encoding="utf-8"?>
<sst xmlns="http://schemas.openxmlformats.org/spreadsheetml/2006/main" count="226" uniqueCount="39">
  <si>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</si>
  <si>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</si>
  <si>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</si>
  <si>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</si>
  <si>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</si>
  <si>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</si>
  <si>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</si>
  <si>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</si>
  <si>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</si>
  <si>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</si>
  <si>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</si>
  <si>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</si>
  <si>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</si>
  <si>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</si>
  <si>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</si>
  <si>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</si>
  <si>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</si>
  <si>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</si>
  <si>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</si>
  <si>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</si>
  <si>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</si>
  <si>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</si>
  <si>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</si>
  <si>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</si>
  <si>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</si>
  <si>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</si>
  <si>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</si>
  <si>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</si>
  <si>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</si>
  <si>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</si>
  <si>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Total sales</t>
  </si>
  <si>
    <t>Total  units</t>
  </si>
  <si>
    <t>Average Sales</t>
  </si>
  <si>
    <t>Total Profit</t>
  </si>
  <si>
    <t>Row Labels</t>
  </si>
  <si>
    <t>Grand Total</t>
  </si>
  <si>
    <t>Sum of Units Sold</t>
  </si>
  <si>
    <t>Sum of Profit</t>
  </si>
  <si>
    <t>Sum of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</si>
</sst>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Rs.&quot;\ * #,##0_ ;_ &quot;Rs.&quot;\ * \-#,##0_ ;_ &quot;Rs.&quot;\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7">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164" fontId="0" fillId="0" borderId="0" xfId="0" applyNumberFormat="1"/>
    <xf numFmtId="0" fontId="0" fillId="0" borderId="0" xfId="0" pivotButton="1"/>
  </cellXfs>
  <cellStyles count="2">
    <cellStyle name="Currency [0]" xfId="1" builtinId="7"/>
    <cellStyle name="Normal" xfId="0" builtinId="0"/>
  </cellStyles>
  <dxfs count="9">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border outline="0">
        <bottom style="thick">
          <color rgb="FFFFC000"/>
        </bottom>
      </border>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[Sales.RT.xlsx]Sheet3!PivotTable8</c:name>
    <c:fmtId val="16"/>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 Total</a:t>
            </a:r>
            <a:r>
              <a:rPr lang="en-US" sz="1800" b="1" baseline="0">
                <a:solidFill>
                  <a:schemeClr val="tx1"/>
                </a:solidFill>
              </a:rPr>
              <a:t> Sales By Region</a:t>
            </a:r>
          </a:p>
          <a:p>
            <a:pPr>
              <a:defRPr sz="1800" b="1">
                <a:solidFill>
                  <a:schemeClr val="tx1"/>
                </a:solidFill>
              </a:defRPr>
            </a:pPr>
            <a:endParaRPr lang="en-US" sz="1800" b="1">
              <a:solidFill>
                <a:schemeClr val="tx1"/>
              </a:solidFill>
            </a:endParaRPr>
          </a:p>
        </c:rich>
      </c:tx>
      <c:layout>
        <c:manualLayout>
          <c:xMode val="edge"/>
          <c:yMode val="edge"/>
          <c:x val="0.34300821237510426"/>
          <c:y val="2.2796161628974222E-2"/>
        </c:manualLayout>
      </c:layout>
      <c:overlay val="0"/>
      <c:spPr>
        <a:solidFill>
          <a:schemeClr val="bg1"/>
        </a:solid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4337837341677584"/>
              <c:y val="-3.8575465760781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61804197663262"/>
                  <c:h val="0.18212965730406702"/>
                </c:manualLayout>
              </c15:layout>
            </c:ext>
          </c:extLst>
        </c:dLbl>
      </c:pivotFmt>
      <c:pivotFmt>
        <c:idx val="12"/>
        <c:spPr>
          <a:solidFill>
            <a:schemeClr val="accent1"/>
          </a:solidFill>
          <a:ln w="19050">
            <a:solidFill>
              <a:schemeClr val="lt1"/>
            </a:solidFill>
          </a:ln>
          <a:effectLst/>
        </c:spPr>
        <c:dLbl>
          <c:idx val="0"/>
          <c:layout>
            <c:manualLayout>
              <c:x val="0.16706697424215605"/>
              <c:y val="2.70028260325467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17830222335142"/>
                  <c:h val="0.18984475045622323"/>
                </c:manualLayout>
              </c15:layout>
            </c:ext>
          </c:extLst>
        </c:dLbl>
      </c:pivotFmt>
      <c:pivotFmt>
        <c:idx val="13"/>
        <c:spPr>
          <a:solidFill>
            <a:schemeClr val="accent1"/>
          </a:solidFill>
          <a:ln w="19050">
            <a:solidFill>
              <a:schemeClr val="lt1"/>
            </a:solidFill>
          </a:ln>
          <a:effectLst/>
        </c:spPr>
        <c:dLbl>
          <c:idx val="0"/>
          <c:layout>
            <c:manualLayout>
              <c:x val="-0.21693771282190433"/>
              <c:y val="-0.104153605682196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95503073038838"/>
                  <c:h val="0.15898437784759833"/>
                </c:manualLayout>
              </c15:layout>
            </c:ext>
          </c:extLst>
        </c:dLbl>
      </c:pivotFmt>
      <c:pivotFmt>
        <c:idx val="14"/>
        <c:spPr>
          <a:solidFill>
            <a:schemeClr val="accent1"/>
          </a:solidFill>
          <a:ln w="19050">
            <a:solidFill>
              <a:schemeClr val="lt1"/>
            </a:solidFill>
          </a:ln>
          <a:effectLst/>
        </c:spPr>
        <c:dLbl>
          <c:idx val="0"/>
          <c:layout>
            <c:manualLayout>
              <c:x val="-0.10348178255297738"/>
              <c:y val="-4.2433012336859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64988326516684"/>
                  <c:h val="0.15126928469544212"/>
                </c:manualLayout>
              </c15:layout>
            </c:ext>
          </c:extLst>
        </c:dLbl>
      </c:pivotFmt>
    </c:pivotFmts>
    <c:plotArea>
      <c:layout/>
      <c:pieChart>
        <c:varyColors val="1"/>
        <c:ser>
          <c:idx val="0"/>
          <c:order val="0"/>
          <c:tx>
            <c:strRef>
              <c:f>Sheet3!$B$4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E8F-4E76-A2BD-6400548B0F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8F-4E76-A2BD-6400548B0F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E8F-4E76-A2BD-6400548B0FD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E8F-4E76-A2BD-6400548B0FDE}"/>
              </c:ext>
            </c:extLst>
          </c:dPt>
          <c:dLbls>
            <c:dLbl>
              <c:idx val="0"/>
              <c:layout>
                <c:manualLayout>
                  <c:x val="0.14337837341677584"/>
                  <c:y val="-3.857546576078110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761804197663262"/>
                      <c:h val="0.18212965730406702"/>
                    </c:manualLayout>
                  </c15:layout>
                </c:ext>
                <c:ext xmlns:c16="http://schemas.microsoft.com/office/drawing/2014/chart" uri="{C3380CC4-5D6E-409C-BE32-E72D297353CC}">
                  <c16:uniqueId val="{00000001-1E8F-4E76-A2BD-6400548B0FDE}"/>
                </c:ext>
              </c:extLst>
            </c:dLbl>
            <c:dLbl>
              <c:idx val="1"/>
              <c:layout>
                <c:manualLayout>
                  <c:x val="0.16706697424215605"/>
                  <c:y val="2.70028260325467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117830222335142"/>
                      <c:h val="0.18984475045622323"/>
                    </c:manualLayout>
                  </c15:layout>
                </c:ext>
                <c:ext xmlns:c16="http://schemas.microsoft.com/office/drawing/2014/chart" uri="{C3380CC4-5D6E-409C-BE32-E72D297353CC}">
                  <c16:uniqueId val="{00000003-1E8F-4E76-A2BD-6400548B0FDE}"/>
                </c:ext>
              </c:extLst>
            </c:dLbl>
            <c:dLbl>
              <c:idx val="2"/>
              <c:layout>
                <c:manualLayout>
                  <c:x val="-0.21693771282190433"/>
                  <c:y val="-0.1041536056821964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95503073038838"/>
                      <c:h val="0.15898437784759833"/>
                    </c:manualLayout>
                  </c15:layout>
                </c:ext>
                <c:ext xmlns:c16="http://schemas.microsoft.com/office/drawing/2014/chart" uri="{C3380CC4-5D6E-409C-BE32-E72D297353CC}">
                  <c16:uniqueId val="{00000005-1E8F-4E76-A2BD-6400548B0FDE}"/>
                </c:ext>
              </c:extLst>
            </c:dLbl>
            <c:dLbl>
              <c:idx val="3"/>
              <c:layout>
                <c:manualLayout>
                  <c:x val="-0.10348178255297738"/>
                  <c:y val="-4.2433012336859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64988326516684"/>
                      <c:h val="0.15126928469544212"/>
                    </c:manualLayout>
                  </c15:layout>
                </c:ext>
                <c:ext xmlns:c16="http://schemas.microsoft.com/office/drawing/2014/chart" uri="{C3380CC4-5D6E-409C-BE32-E72D297353CC}">
                  <c16:uniqueId val="{00000007-1E8F-4E76-A2BD-6400548B0FD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Sheet3!$A$5:$A$9</c:f>
              <c:strCache>
                <c:ptCount val="4"/>
                <c:pt idx="0">
                  <c:v>East</c:v>
                </c:pt>
                <c:pt idx="1">
                  <c:v>North</c:v>
                </c:pt>
                <c:pt idx="2">
                  <c:v>South</c:v>
                </c:pt>
                <c:pt idx="3">
                  <c:v>West</c:v>
                </c:pt>
              </c:strCache>
            </c:strRef>
          </c:cat>
          <c:val>
            <c:numRef>
              <c:f>Sheet3!$B$5:$B$9</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1E8F-4E76-A2BD-6400548B0FD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[Sales.RT.xlsx]Sheet2!PivotTable4</c:name>
    <c:fmtId val="12"/>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785343942573222"/>
          <c:y val="0.11483386772671887"/>
          <c:w val="0.80112579192536881"/>
          <c:h val="0.71628438322068289"/>
        </c:manualLayout>
      </c:layout>
      <c:lineChart>
        <c:grouping val="stacked"/>
        <c:varyColors val="0"/>
        <c:ser>
          <c:idx val="0"/>
          <c:order val="0"/>
          <c:tx>
            <c:strRef>
              <c:f>Sheet2!$C$17</c:f>
              <c:strCache>
                <c:ptCount val="1"/>
                <c:pt idx="0">
                  <c:v>Total</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Sheet2!$B$18:$B$25</c:f>
              <c:strCache>
                <c:ptCount val="7"/>
                <c:pt idx="0">
                  <c:v>Action Figure</c:v>
                </c:pt>
                <c:pt idx="1">
                  <c:v>Blender</c:v>
                </c:pt>
                <c:pt idx="2">
                  <c:v>Moisturizer</c:v>
                </c:pt>
                <c:pt idx="3">
                  <c:v>Novel</c:v>
                </c:pt>
                <c:pt idx="4">
                  <c:v>Smartphone</c:v>
                </c:pt>
                <c:pt idx="5">
                  <c:v>Sneakers</c:v>
                </c:pt>
                <c:pt idx="6">
                  <c:v>Tent</c:v>
                </c:pt>
              </c:strCache>
            </c:strRef>
          </c:cat>
          <c:val>
            <c:numRef>
              <c:f>Sheet2!$C$18:$C$25</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2E25-45F1-9751-F956BA6E9E0C}"/>
            </c:ext>
          </c:extLst>
        </c:ser>
        <c:dLbls>
          <c:showLegendKey val="0"/>
          <c:showVal val="0"/>
          <c:showCatName val="0"/>
          <c:showSerName val="0"/>
          <c:showPercent val="0"/>
          <c:showBubbleSize val="0"/>
        </c:dLbls>
        <c:marker val="1"/>
        <c:smooth val="0"/>
        <c:axId val="310712671"/>
        <c:axId val="310714111"/>
      </c:lineChart>
      <c:catAx>
        <c:axId val="3107126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10714111"/>
        <c:crosses val="autoZero"/>
        <c:auto val="1"/>
        <c:lblAlgn val="ctr"/>
        <c:lblOffset val="100"/>
        <c:noMultiLvlLbl val="0"/>
      </c:catAx>
      <c:valAx>
        <c:axId val="3107141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1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[Sales.RT.xlsx]Sheet2!product</c:name>
    <c:fmtId val="3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Profit</a:t>
            </a:r>
            <a:r>
              <a:rPr lang="en-US" sz="1600" b="1" baseline="0">
                <a:solidFill>
                  <a:schemeClr val="tx1"/>
                </a:solidFill>
              </a:rPr>
              <a:t> By Product</a:t>
            </a:r>
          </a:p>
          <a:p>
            <a:pPr>
              <a:defRPr sz="1600" b="1">
                <a:solidFill>
                  <a:schemeClr val="tx1"/>
                </a:solidFill>
              </a:defRPr>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7837645543261196"/>
              <c:y val="-0.1266710079282135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0.22400955121335087"/>
              <c:y val="9.25926152813223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1484804030338"/>
          <c:y val="0.21210605501844526"/>
          <c:w val="0.41097042016534951"/>
          <c:h val="0.70061743520881548"/>
        </c:manualLayout>
      </c:layout>
      <c:doughnutChart>
        <c:varyColors val="1"/>
        <c:ser>
          <c:idx val="0"/>
          <c:order val="0"/>
          <c:tx>
            <c:strRef>
              <c:f>Sheet2!$B$35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D5-4CBD-8567-311222443CF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89D5-4CBD-8567-311222443CF1}"/>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89D5-4CBD-8567-311222443CF1}"/>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89D5-4CBD-8567-311222443CF1}"/>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89D5-4CBD-8567-311222443CF1}"/>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89D5-4CBD-8567-311222443CF1}"/>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89D5-4CBD-8567-311222443CF1}"/>
              </c:ext>
            </c:extLst>
          </c:dPt>
          <c:dLbls>
            <c:dLbl>
              <c:idx val="0"/>
              <c:layout>
                <c:manualLayout>
                  <c:x val="-0.17837645543261196"/>
                  <c:y val="-0.12667100792821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D5-4CBD-8567-311222443CF1}"/>
                </c:ext>
              </c:extLst>
            </c:dLbl>
            <c:dLbl>
              <c:idx val="1"/>
              <c:layout>
                <c:manualLayout>
                  <c:x val="0.1083333333333333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D5-4CBD-8567-311222443CF1}"/>
                </c:ext>
              </c:extLst>
            </c:dLbl>
            <c:dLbl>
              <c:idx val="2"/>
              <c:layout>
                <c:manualLayout>
                  <c:x val="0.1111111111111111"/>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D5-4CBD-8567-311222443CF1}"/>
                </c:ext>
              </c:extLst>
            </c:dLbl>
            <c:dLbl>
              <c:idx val="3"/>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D5-4CBD-8567-311222443CF1}"/>
                </c:ext>
              </c:extLst>
            </c:dLbl>
            <c:dLbl>
              <c:idx val="4"/>
              <c:layout>
                <c:manualLayout>
                  <c:x val="0.22400955121335087"/>
                  <c:y val="9.259261528132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9D5-4CBD-8567-311222443CF1}"/>
                </c:ext>
              </c:extLst>
            </c:dLbl>
            <c:dLbl>
              <c:idx val="5"/>
              <c:layout>
                <c:manualLayout>
                  <c:x val="-0.15555555555555556"/>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9D5-4CBD-8567-311222443CF1}"/>
                </c:ext>
              </c:extLst>
            </c:dLbl>
            <c:dLbl>
              <c:idx val="6"/>
              <c:layout>
                <c:manualLayout>
                  <c:x val="-0.1222222222222222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D5-4CBD-8567-311222443CF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Sheet2!$A$36:$A$43</c:f>
              <c:strCache>
                <c:ptCount val="7"/>
                <c:pt idx="0">
                  <c:v>Action Figure</c:v>
                </c:pt>
                <c:pt idx="1">
                  <c:v>Blender</c:v>
                </c:pt>
                <c:pt idx="2">
                  <c:v>Moisturizer</c:v>
                </c:pt>
                <c:pt idx="3">
                  <c:v>Novel</c:v>
                </c:pt>
                <c:pt idx="4">
                  <c:v>Smartphone</c:v>
                </c:pt>
                <c:pt idx="5">
                  <c:v>Sneakers</c:v>
                </c:pt>
                <c:pt idx="6">
                  <c:v>Tent</c:v>
                </c:pt>
              </c:strCache>
            </c:strRef>
          </c:cat>
          <c:val>
            <c:numRef>
              <c:f>Sheet2!$B$36:$B$43</c:f>
              <c:numCache>
                <c:formatCode>_ "Rs."\ * #,##0_ ;_ "Rs."\ * \-#,##0_ ;_ "Rs."\ * "-"_ ;_ @_ </c:formatCode>
                <c:ptCount val="7"/>
                <c:pt idx="0">
                  <c:v>182400</c:v>
                </c:pt>
                <c:pt idx="1">
                  <c:v>635000</c:v>
                </c:pt>
                <c:pt idx="2">
                  <c:v>235600</c:v>
                </c:pt>
                <c:pt idx="3">
                  <c:v>269400</c:v>
                </c:pt>
                <c:pt idx="4">
                  <c:v>705000</c:v>
                </c:pt>
                <c:pt idx="5">
                  <c:v>799000</c:v>
                </c:pt>
                <c:pt idx="6">
                  <c:v>1008000</c:v>
                </c:pt>
              </c:numCache>
            </c:numRef>
          </c:val>
          <c:extLst>
            <c:ext xmlns:c16="http://schemas.microsoft.com/office/drawing/2014/chart" uri="{C3380CC4-5D6E-409C-BE32-E72D297353CC}">
              <c16:uniqueId val="{0000000E-89D5-4CBD-8567-311222443C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[Sales.RT.xlsx]Sheet5!PivotTable11</c:name>
    <c:fmtId val="91"/>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Units</a:t>
            </a:r>
            <a:r>
              <a:rPr lang="en-US" sz="1600" b="1" baseline="0">
                <a:solidFill>
                  <a:schemeClr val="tx1"/>
                </a:solidFill>
              </a:rPr>
              <a:t> Sold By Salespersons</a:t>
            </a:r>
            <a:endParaRPr lang="en-US" sz="1600" b="1">
              <a:solidFill>
                <a:schemeClr val="tx1"/>
              </a:solidFill>
            </a:endParaRPr>
          </a:p>
        </c:rich>
      </c:tx>
      <c:layout>
        <c:manualLayout>
          <c:xMode val="edge"/>
          <c:yMode val="edge"/>
          <c:x val="0.2994661035322233"/>
          <c:y val="1.86995058127978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685772304575851E-2"/>
          <c:y val="0.11871069606824489"/>
          <c:w val="0.93504142414317559"/>
          <c:h val="0.63415275778446689"/>
        </c:manualLayout>
      </c:layout>
      <c:bar3DChart>
        <c:barDir val="col"/>
        <c:grouping val="standard"/>
        <c:varyColors val="0"/>
        <c:ser>
          <c:idx val="0"/>
          <c:order val="0"/>
          <c:tx>
            <c:strRef>
              <c:f>Sheet5!$B$3</c:f>
              <c:strCache>
                <c:ptCount val="1"/>
                <c:pt idx="0">
                  <c:v>Total</c:v>
                </c:pt>
              </c:strCache>
            </c:strRef>
          </c:tx>
          <c:spPr>
            <a:solidFill>
              <a:schemeClr val="accent1"/>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Sheet5!$A$4:$A$14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Sheet5!$B$4:$B$14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extLst>
            <c:ext xmlns:c16="http://schemas.microsoft.com/office/drawing/2014/chart" uri="{C3380CC4-5D6E-409C-BE32-E72D297353CC}">
              <c16:uniqueId val="{00000000-CECA-41B7-89DA-902B279F7362}"/>
            </c:ext>
          </c:extLst>
        </c:ser>
        <c:dLbls>
          <c:showLegendKey val="0"/>
          <c:showVal val="0"/>
          <c:showCatName val="0"/>
          <c:showSerName val="0"/>
          <c:showPercent val="0"/>
          <c:showBubbleSize val="0"/>
        </c:dLbls>
        <c:gapWidth val="150"/>
        <c:shape val="box"/>
        <c:axId val="71644351"/>
        <c:axId val="71646751"/>
        <c:axId val="2039717183"/>
      </c:bar3DChart>
      <c:catAx>
        <c:axId val="71644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1646751"/>
        <c:crosses val="autoZero"/>
        <c:auto val="1"/>
        <c:lblAlgn val="ctr"/>
        <c:lblOffset val="100"/>
        <c:noMultiLvlLbl val="0"/>
      </c:catAx>
      <c:valAx>
        <c:axId val="71646751"/>
        <c:scaling>
          <c:orientation val="minMax"/>
        </c:scaling>
        <c:delete val="1"/>
        <c:axPos val="l"/>
        <c:numFmt formatCode="General" sourceLinked="1"/>
        <c:majorTickMark val="out"/>
        <c:minorTickMark val="none"/>
        <c:tickLblPos val="nextTo"/>
        <c:crossAx val="71644351"/>
        <c:crosses val="autoZero"/>
        <c:crossBetween val="between"/>
      </c:valAx>
      <c:serAx>
        <c:axId val="2039717183"/>
        <c:scaling>
          <c:orientation val="minMax"/>
        </c:scaling>
        <c:delete val="1"/>
        <c:axPos val="b"/>
        <c:majorTickMark val="out"/>
        <c:minorTickMark val="none"/>
        <c:tickLblPos val="nextTo"/>
        <c:crossAx val="71646751"/>
        <c:crosses val="autoZero"/>
      </c:serAx>
      <c:spPr>
        <a:solidFill>
          <a:schemeClr val="bg1"/>
        </a:solidFill>
        <a:ln>
          <a:noFill/>
        </a:ln>
        <a:effectLst/>
      </c:spPr>
    </c:plotArea>
    <c:legend>
      <c:legendPos val="b"/>
      <c:legendEntry>
        <c:idx val="0"/>
        <c:txPr>
          <a:bodyPr rot="0" spcFirstLastPara="1" vertOverflow="ellipsis" vert="horz" wrap="square" anchor="ctr" anchorCtr="1"/>
          <a:lstStyle/>
          <a:p>
            <a:pPr>
              <a:defRPr sz="171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3816530250436746"/>
          <c:y val="0.9134339101577208"/>
          <c:w val="0.16888436735103757"/>
          <c:h val="8.6566089842279231E-2"/>
        </c:manualLayout>
      </c:layout>
      <c:overlay val="0"/>
      <c:spPr>
        <a:noFill/>
        <a:ln>
          <a:noFill/>
        </a:ln>
        <a:effectLst/>
      </c:spPr>
      <c:txPr>
        <a:bodyPr rot="0" spcFirstLastPara="1" vertOverflow="ellipsis" vert="horz" wrap="square" anchor="ctr" anchorCtr="1"/>
        <a:lstStyle/>
        <a:p>
          <a:pPr>
            <a:defRPr sz="171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[Sales.RT.xlsx]Sheet2!PivotTable4</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Sheet2!$C$17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Sheet2!$B$18:$B$25</c:f>
              <c:strCache>
                <c:ptCount val="7"/>
                <c:pt idx="0">
                  <c:v>Action Figure</c:v>
                </c:pt>
                <c:pt idx="1">
                  <c:v>Blender</c:v>
                </c:pt>
                <c:pt idx="2">
                  <c:v>Moisturizer</c:v>
                </c:pt>
                <c:pt idx="3">
                  <c:v>Novel</c:v>
                </c:pt>
                <c:pt idx="4">
                  <c:v>Smartphone</c:v>
                </c:pt>
                <c:pt idx="5">
                  <c:v>Sneakers</c:v>
                </c:pt>
                <c:pt idx="6">
                  <c:v>Tent</c:v>
                </c:pt>
              </c:strCache>
            </c:strRef>
          </c:cat>
          <c:val>
            <c:numRef>
              <c:f>Sheet2!$C$18:$C$25</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3854-4D91-8F80-B7F61197A170}"/>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10712671"/>
        <c:axId val="310714111"/>
      </c:lineChart>
      <c:catAx>
        <c:axId val="31071267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10714111"/>
        <c:crosses val="autoZero"/>
        <c:auto val="1"/>
        <c:lblAlgn val="ctr"/>
        <c:lblOffset val="100"/>
        <c:noMultiLvlLbl val="0"/>
      </c:catAx>
      <c:valAx>
        <c:axId val="31071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1071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254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[Sales.RT.xlsx]Sheet2!product</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279-4503-866D-7770021AA6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279-4503-866D-7770021AA6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A279-4503-866D-7770021AA6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79-4503-866D-7770021AA6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A279-4503-866D-7770021AA61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A279-4503-866D-7770021AA61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4-A279-4503-866D-7770021AA613}"/>
              </c:ext>
            </c:extLst>
          </c:dPt>
          <c:dLbls>
            <c:dLbl>
              <c:idx val="0"/>
              <c:layout>
                <c:manualLayout>
                  <c:x val="-2.7777777777777776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79-4503-866D-7770021AA613}"/>
                </c:ext>
              </c:extLst>
            </c:dLbl>
            <c:dLbl>
              <c:idx val="1"/>
              <c:layout>
                <c:manualLayout>
                  <c:x val="0.1083333333333333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279-4503-866D-7770021AA613}"/>
                </c:ext>
              </c:extLst>
            </c:dLbl>
            <c:dLbl>
              <c:idx val="2"/>
              <c:layout>
                <c:manualLayout>
                  <c:x val="-2.7777777777777776E-2"/>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279-4503-866D-7770021AA613}"/>
                </c:ext>
              </c:extLst>
            </c:dLbl>
            <c:dLbl>
              <c:idx val="3"/>
              <c:layout>
                <c:manualLayout>
                  <c:x val="0.136111111111111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79-4503-866D-7770021AA613}"/>
                </c:ext>
              </c:extLst>
            </c:dLbl>
            <c:dLbl>
              <c:idx val="4"/>
              <c:layout>
                <c:manualLayout>
                  <c:x val="0.15555555555555556"/>
                  <c:y val="9.25925925925925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279-4503-866D-7770021AA613}"/>
                </c:ext>
              </c:extLst>
            </c:dLbl>
            <c:dLbl>
              <c:idx val="5"/>
              <c:layout>
                <c:manualLayout>
                  <c:x val="-0.15555555555555556"/>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79-4503-866D-7770021AA613}"/>
                </c:ext>
              </c:extLst>
            </c:dLbl>
            <c:dLbl>
              <c:idx val="6"/>
              <c:layout>
                <c:manualLayout>
                  <c:x val="-0.12222222222222222"/>
                  <c:y val="-3.2407407407407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279-4503-866D-7770021AA6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Sheet2!$A$36:$A$43</c:f>
              <c:strCache>
                <c:ptCount val="7"/>
                <c:pt idx="0">
                  <c:v>Action Figure</c:v>
                </c:pt>
                <c:pt idx="1">
                  <c:v>Blender</c:v>
                </c:pt>
                <c:pt idx="2">
                  <c:v>Moisturizer</c:v>
                </c:pt>
                <c:pt idx="3">
                  <c:v>Novel</c:v>
                </c:pt>
                <c:pt idx="4">
                  <c:v>Smartphone</c:v>
                </c:pt>
                <c:pt idx="5">
                  <c:v>Sneakers</c:v>
                </c:pt>
                <c:pt idx="6">
                  <c:v>Tent</c:v>
                </c:pt>
              </c:strCache>
            </c:strRef>
          </c:cat>
          <c:val>
            <c:numRef>
              <c:f>Sheet2!$B$36:$B$43</c:f>
              <c:numCache>
                <c:formatCode>_ "Rs."\ * #,##0_ ;_ "Rs."\ * \-#,##0_ ;_ "Rs."\ * "-"_ ;_ @_ </c:formatCode>
                <c:ptCount val="7"/>
                <c:pt idx="0">
                  <c:v>182400</c:v>
                </c:pt>
                <c:pt idx="1">
                  <c:v>635000</c:v>
                </c:pt>
                <c:pt idx="2">
                  <c:v>235600</c:v>
                </c:pt>
                <c:pt idx="3">
                  <c:v>269400</c:v>
                </c:pt>
                <c:pt idx="4">
                  <c:v>705000</c:v>
                </c:pt>
                <c:pt idx="5">
                  <c:v>799000</c:v>
                </c:pt>
                <c:pt idx="6">
                  <c:v>1008000</c:v>
                </c:pt>
              </c:numCache>
            </c:numRef>
          </c:val>
          <c:extLst>
            <c:ext xmlns:c16="http://schemas.microsoft.com/office/drawing/2014/chart" uri="{C3380CC4-5D6E-409C-BE32-E72D297353CC}">
              <c16:uniqueId val="{00000000-A279-4503-866D-7770021AA61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[Sales.RT.xlsx]Sheet3!PivotTable8</c:name>
    <c:fmtId val="19"/>
  </c:pivotSource>
  <c:chart>
    <c:title>
      <c:tx>
        <c:rich>
          <a:bodyPr rot="0" spcFirstLastPara="1" vertOverflow="ellipsis" vert="horz" wrap="square" anchor="ctr" anchorCtr="1"/>
          <a:lstStyle/>
          <a:p>
            <a:pPr>
              <a:defRPr sz="1800" b="0" i="0" u="none" strike="noStrike" kern="1200" spc="0" baseline="0">
                <a:solidFill>
                  <a:schemeClr val="accent5">
                    <a:lumMod val="75000"/>
                  </a:schemeClr>
                </a:solidFill>
                <a:latin typeface="+mn-lt"/>
                <a:ea typeface="+mn-ea"/>
                <a:cs typeface="+mn-cs"/>
              </a:defRPr>
            </a:pPr>
            <a:r>
              <a:rPr lang="en-US" sz="1800">
                <a:solidFill>
                  <a:schemeClr val="accent5">
                    <a:lumMod val="75000"/>
                  </a:schemeClr>
                </a:solidFill>
              </a:rPr>
              <a:t> Total</a:t>
            </a:r>
            <a:r>
              <a:rPr lang="en-US" sz="1800" baseline="0">
                <a:solidFill>
                  <a:schemeClr val="accent5">
                    <a:lumMod val="75000"/>
                  </a:schemeClr>
                </a:solidFill>
              </a:rPr>
              <a:t> Sales By Region</a:t>
            </a:r>
          </a:p>
          <a:p>
            <a:pPr>
              <a:defRPr sz="1800">
                <a:solidFill>
                  <a:schemeClr val="accent5">
                    <a:lumMod val="75000"/>
                  </a:schemeClr>
                </a:solidFill>
              </a:defRPr>
            </a:pPr>
            <a:endParaRPr lang="en-US" sz="1800">
              <a:solidFill>
                <a:schemeClr val="accent5">
                  <a:lumMod val="75000"/>
                </a:schemeClr>
              </a:solidFill>
            </a:endParaRPr>
          </a:p>
        </c:rich>
      </c:tx>
      <c:layout>
        <c:manualLayout>
          <c:xMode val="edge"/>
          <c:yMode val="edge"/>
          <c:x val="0.34300821237510426"/>
          <c:y val="2.2796161628974222E-2"/>
        </c:manualLayout>
      </c:layout>
      <c:overlay val="0"/>
      <c:spPr>
        <a:solidFill>
          <a:schemeClr val="bg1"/>
        </a:solidFill>
        <a:ln>
          <a:noFill/>
        </a:ln>
        <a:effectLst/>
      </c:spPr>
      <c:txPr>
        <a:bodyPr rot="0" spcFirstLastPara="1" vertOverflow="ellipsis" vert="horz" wrap="square" anchor="ctr" anchorCtr="1"/>
        <a:lstStyle/>
        <a:p>
          <a:pPr>
            <a:defRPr sz="18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504347379117556"/>
              <c:y val="-2.4217481365184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329404414991835E-2"/>
                  <c:h val="0.17734516260663638"/>
                </c:manualLayout>
              </c15:layout>
            </c:ext>
          </c:extLst>
        </c:dLbl>
      </c:pivotFmt>
      <c:pivotFmt>
        <c:idx val="12"/>
        <c:spPr>
          <a:solidFill>
            <a:schemeClr val="accent1"/>
          </a:solidFill>
          <a:ln w="19050">
            <a:solidFill>
              <a:schemeClr val="lt1"/>
            </a:solidFill>
          </a:ln>
          <a:effectLst/>
        </c:spPr>
        <c:dLbl>
          <c:idx val="0"/>
          <c:layout>
            <c:manualLayout>
              <c:x val="0.18242889791270447"/>
              <c:y val="-9.69966206634939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624500318293774E-2"/>
                  <c:h val="0.16594708179214923"/>
                </c:manualLayout>
              </c15:layout>
            </c:ext>
          </c:extLst>
        </c:dLbl>
      </c:pivotFmt>
      <c:pivotFmt>
        <c:idx val="13"/>
        <c:spPr>
          <a:solidFill>
            <a:schemeClr val="accent1"/>
          </a:solidFill>
          <a:ln w="19050">
            <a:solidFill>
              <a:schemeClr val="lt1"/>
            </a:solidFill>
          </a:ln>
          <a:effectLst/>
        </c:spPr>
        <c:dLbl>
          <c:idx val="0"/>
          <c:layout>
            <c:manualLayout>
              <c:x val="-0.18576643562359885"/>
              <c:y val="-0.198622627194803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2062029725871949E-2"/>
                  <c:h val="0.17354580233514064"/>
                </c:manualLayout>
              </c15:layout>
            </c:ext>
          </c:extLst>
        </c:dLbl>
      </c:pivotFmt>
      <c:pivotFmt>
        <c:idx val="14"/>
        <c:spPr>
          <a:solidFill>
            <a:schemeClr val="accent1"/>
          </a:solidFill>
          <a:ln w="19050">
            <a:solidFill>
              <a:schemeClr val="lt1"/>
            </a:solidFill>
          </a:ln>
          <a:effectLst/>
        </c:spPr>
        <c:dLbl>
          <c:idx val="0"/>
          <c:layout>
            <c:manualLayout>
              <c:x val="-7.9306356781634668E-2"/>
              <c:y val="-1.6970874762315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56383866261252"/>
                  <c:h val="0.18494388314962779"/>
                </c:manualLayout>
              </c15:layout>
            </c:ext>
          </c:extLst>
        </c:dLbl>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504347379117556"/>
              <c:y val="-2.4217481365184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329404414991835E-2"/>
                  <c:h val="0.17734516260663638"/>
                </c:manualLayout>
              </c15:layout>
            </c:ext>
          </c:extLst>
        </c:dLbl>
      </c:pivotFmt>
      <c:pivotFmt>
        <c:idx val="17"/>
        <c:spPr>
          <a:solidFill>
            <a:schemeClr val="accent1"/>
          </a:solidFill>
          <a:ln w="19050">
            <a:solidFill>
              <a:schemeClr val="lt1"/>
            </a:solidFill>
          </a:ln>
          <a:effectLst/>
        </c:spPr>
        <c:dLbl>
          <c:idx val="0"/>
          <c:layout>
            <c:manualLayout>
              <c:x val="0.18242889791270447"/>
              <c:y val="-9.69966206634939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624500318293774E-2"/>
                  <c:h val="0.16594708179214923"/>
                </c:manualLayout>
              </c15:layout>
            </c:ext>
          </c:extLst>
        </c:dLbl>
      </c:pivotFmt>
      <c:pivotFmt>
        <c:idx val="18"/>
        <c:spPr>
          <a:solidFill>
            <a:schemeClr val="accent1"/>
          </a:solidFill>
          <a:ln w="19050">
            <a:solidFill>
              <a:schemeClr val="lt1"/>
            </a:solidFill>
          </a:ln>
          <a:effectLst/>
        </c:spPr>
        <c:dLbl>
          <c:idx val="0"/>
          <c:layout>
            <c:manualLayout>
              <c:x val="-0.18576643562359885"/>
              <c:y val="-0.198622627194803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2062029725871949E-2"/>
                  <c:h val="0.17354580233514064"/>
                </c:manualLayout>
              </c15:layout>
            </c:ext>
          </c:extLst>
        </c:dLbl>
      </c:pivotFmt>
      <c:pivotFmt>
        <c:idx val="19"/>
        <c:spPr>
          <a:solidFill>
            <a:schemeClr val="accent1"/>
          </a:solidFill>
          <a:ln w="19050">
            <a:solidFill>
              <a:schemeClr val="lt1"/>
            </a:solidFill>
          </a:ln>
          <a:effectLst/>
        </c:spPr>
        <c:dLbl>
          <c:idx val="0"/>
          <c:layout>
            <c:manualLayout>
              <c:x val="-7.9306356781634668E-2"/>
              <c:y val="-1.6970874762315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56383866261252"/>
                  <c:h val="0.18494388314962779"/>
                </c:manualLayout>
              </c15:layout>
            </c:ext>
          </c:extLst>
        </c:dLbl>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504347379117556"/>
              <c:y val="-2.4217481365184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329404414991835E-2"/>
                  <c:h val="0.17734516260663638"/>
                </c:manualLayout>
              </c15:layout>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dLbl>
          <c:idx val="0"/>
          <c:layout>
            <c:manualLayout>
              <c:x val="-0.18576643562359885"/>
              <c:y val="-0.198622627194803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2062029725871949E-2"/>
                  <c:h val="0.17354580233514064"/>
                </c:manualLayout>
              </c15:layout>
            </c:ext>
          </c:extLst>
        </c:dLbl>
      </c:pivotFmt>
      <c:pivotFmt>
        <c:idx val="24"/>
        <c:spPr>
          <a:solidFill>
            <a:schemeClr val="accent1"/>
          </a:solidFill>
          <a:ln w="19050">
            <a:solidFill>
              <a:schemeClr val="lt1"/>
            </a:solidFill>
          </a:ln>
          <a:effectLst/>
        </c:spPr>
        <c:dLbl>
          <c:idx val="0"/>
          <c:layout>
            <c:manualLayout>
              <c:x val="-7.9306356781634668E-2"/>
              <c:y val="-1.6970874762315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56383866261252"/>
                  <c:h val="0.18494388314962779"/>
                </c:manualLayout>
              </c15:layout>
            </c:ext>
          </c:extLst>
        </c:dLbl>
      </c:pivotFmt>
    </c:pivotFmts>
    <c:plotArea>
      <c:layout/>
      <c:pieChart>
        <c:varyColors val="1"/>
        <c:ser>
          <c:idx val="0"/>
          <c:order val="0"/>
          <c:tx>
            <c:strRef>
              <c:f>Sheet3!$B$4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E3-407B-BBCC-BD29E66180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E3-407B-BBCC-BD29E66180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E3-407B-BBCC-BD29E66180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E3-407B-BBCC-BD29E6618043}"/>
              </c:ext>
            </c:extLst>
          </c:dPt>
          <c:dLbls>
            <c:dLbl>
              <c:idx val="0"/>
              <c:layout>
                <c:manualLayout>
                  <c:x val="0.1504347379117556"/>
                  <c:y val="-2.4217481365184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0329404414991835E-2"/>
                      <c:h val="0.17734516260663638"/>
                    </c:manualLayout>
                  </c15:layout>
                </c:ext>
                <c:ext xmlns:c16="http://schemas.microsoft.com/office/drawing/2014/chart" uri="{C3380CC4-5D6E-409C-BE32-E72D297353CC}">
                  <c16:uniqueId val="{00000001-4CE3-407B-BBCC-BD29E6618043}"/>
                </c:ext>
              </c:extLst>
            </c:dLbl>
            <c:dLbl>
              <c:idx val="2"/>
              <c:layout>
                <c:manualLayout>
                  <c:x val="-0.18576643562359885"/>
                  <c:y val="-0.1986226271948036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2062029725871949E-2"/>
                      <c:h val="0.17354580233514064"/>
                    </c:manualLayout>
                  </c15:layout>
                </c:ext>
                <c:ext xmlns:c16="http://schemas.microsoft.com/office/drawing/2014/chart" uri="{C3380CC4-5D6E-409C-BE32-E72D297353CC}">
                  <c16:uniqueId val="{00000005-4CE3-407B-BBCC-BD29E6618043}"/>
                </c:ext>
              </c:extLst>
            </c:dLbl>
            <c:dLbl>
              <c:idx val="3"/>
              <c:layout>
                <c:manualLayout>
                  <c:x val="-7.9306356781634668E-2"/>
                  <c:y val="-1.69708747623156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36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56383866261252"/>
                      <c:h val="0.18494388314962779"/>
                    </c:manualLayout>
                  </c15:layout>
                </c:ext>
                <c:ext xmlns:c16="http://schemas.microsoft.com/office/drawing/2014/chart" uri="{C3380CC4-5D6E-409C-BE32-E72D297353CC}">
                  <c16:uniqueId val="{00000007-4CE3-407B-BBCC-BD29E661804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Sheet3!$A$5:$A$9</c:f>
              <c:strCache>
                <c:ptCount val="4"/>
                <c:pt idx="0">
                  <c:v>East</c:v>
                </c:pt>
                <c:pt idx="1">
                  <c:v>North</c:v>
                </c:pt>
                <c:pt idx="2">
                  <c:v>South</c:v>
                </c:pt>
                <c:pt idx="3">
                  <c:v>West</c:v>
                </c:pt>
              </c:strCache>
            </c:strRef>
          </c:cat>
          <c:val>
            <c:numRef>
              <c:f>Sheet3!$B$5:$B$9</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4CE3-407B-BBCC-BD29E6618043}"/>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[Sales.RT.xlsx]Sheet2!PivotTable4</c:name>
    <c:fmtId val="3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0785343942573222"/>
          <c:y val="0.11483386772671887"/>
          <c:w val="0.80112579192536881"/>
          <c:h val="0.71628438322068289"/>
        </c:manualLayout>
      </c:layout>
      <c:lineChart>
        <c:grouping val="stacked"/>
        <c:varyColors val="0"/>
        <c:ser>
          <c:idx val="0"/>
          <c:order val="0"/>
          <c:tx>
            <c:strRef>
              <c:f>Sheet2!$C$17</c:f>
              <c:strCache>
                <c:ptCount val="1"/>
                <c:pt idx="0">
                  <c:v>Total</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Sheet2!$B$18:$B$25</c:f>
              <c:strCache>
                <c:ptCount val="7"/>
                <c:pt idx="0">
                  <c:v>Action Figure</c:v>
                </c:pt>
                <c:pt idx="1">
                  <c:v>Blender</c:v>
                </c:pt>
                <c:pt idx="2">
                  <c:v>Moisturizer</c:v>
                </c:pt>
                <c:pt idx="3">
                  <c:v>Novel</c:v>
                </c:pt>
                <c:pt idx="4">
                  <c:v>Smartphone</c:v>
                </c:pt>
                <c:pt idx="5">
                  <c:v>Sneakers</c:v>
                </c:pt>
                <c:pt idx="6">
                  <c:v>Tent</c:v>
                </c:pt>
              </c:strCache>
            </c:strRef>
          </c:cat>
          <c:val>
            <c:numRef>
              <c:f>Sheet2!$C$18:$C$25</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33BF-4F08-B189-713D69641F73}"/>
            </c:ext>
          </c:extLst>
        </c:ser>
        <c:dLbls>
          <c:showLegendKey val="0"/>
          <c:showVal val="0"/>
          <c:showCatName val="0"/>
          <c:showSerName val="0"/>
          <c:showPercent val="0"/>
          <c:showBubbleSize val="0"/>
        </c:dLbls>
        <c:marker val="1"/>
        <c:smooth val="0"/>
        <c:axId val="310712671"/>
        <c:axId val="310714111"/>
      </c:lineChart>
      <c:catAx>
        <c:axId val="310712671"/>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10714111"/>
        <c:crosses val="autoZero"/>
        <c:auto val="1"/>
        <c:lblAlgn val="ctr"/>
        <c:lblOffset val="100"/>
        <c:noMultiLvlLbl val="0"/>
      </c:catAx>
      <c:valAx>
        <c:axId val="310714111"/>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12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[Sales.RT.xlsx]Sheet2!product</c:name>
    <c:fmtId val="50"/>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Profit</a:t>
            </a:r>
            <a:r>
              <a:rPr lang="en-US" sz="1600" b="1" baseline="0">
                <a:solidFill>
                  <a:schemeClr val="tx1"/>
                </a:solidFill>
              </a:rPr>
              <a:t> By Product</a:t>
            </a:r>
          </a:p>
          <a:p>
            <a:pPr>
              <a:defRPr sz="1600" b="1">
                <a:solidFill>
                  <a:schemeClr val="tx1"/>
                </a:solidFill>
              </a:defRPr>
            </a:pP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2.7777777777777776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5555555555555556"/>
              <c:y val="9.25925925925925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0.17837645543261196"/>
              <c:y val="-0.1266710079282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0.22400955121335087"/>
              <c:y val="9.259261528132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7837645543261196"/>
              <c:y val="-0.1266710079282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0.1111111111111111"/>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22400955121335087"/>
              <c:y val="9.259261528132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0.1222222222222222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0.17837645543261196"/>
              <c:y val="-0.1266710079282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dLbl>
          <c:idx val="0"/>
          <c:layout>
            <c:manualLayout>
              <c:x val="0.10833333333333334"/>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dLbl>
          <c:idx val="0"/>
          <c:layout>
            <c:manualLayout>
              <c:x val="-0.17837645543261196"/>
              <c:y val="-0.12667100792821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dLbl>
          <c:idx val="0"/>
          <c:layout>
            <c:manualLayout>
              <c:x val="0.136111111111111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dLbl>
          <c:idx val="0"/>
          <c:layout>
            <c:manualLayout>
              <c:x val="0.22400955121335087"/>
              <c:y val="9.2592615281322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dLbl>
          <c:idx val="0"/>
          <c:layout>
            <c:manualLayout>
              <c:x val="-0.15555555555555556"/>
              <c:y val="5.55555555555553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1484804030338"/>
          <c:y val="0.21210605501844526"/>
          <c:w val="0.41097042016534951"/>
          <c:h val="0.70061743520881548"/>
        </c:manualLayout>
      </c:layout>
      <c:doughnutChart>
        <c:varyColors val="1"/>
        <c:ser>
          <c:idx val="0"/>
          <c:order val="0"/>
          <c:tx>
            <c:strRef>
              <c:f>Sheet2!$B$35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25-4B5B-A57D-2D096A31F28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25-4B5B-A57D-2D096A31F28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325-4B5B-A57D-2D096A31F28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325-4B5B-A57D-2D096A31F28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4325-4B5B-A57D-2D096A31F28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4325-4B5B-A57D-2D096A31F289}"/>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4325-4B5B-A57D-2D096A31F289}"/>
              </c:ext>
            </c:extLst>
          </c:dPt>
          <c:dLbls>
            <c:dLbl>
              <c:idx val="0"/>
              <c:layout>
                <c:manualLayout>
                  <c:x val="-0.17837645543261196"/>
                  <c:y val="-0.12667100792821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25-4B5B-A57D-2D096A31F289}"/>
                </c:ext>
              </c:extLst>
            </c:dLbl>
            <c:dLbl>
              <c:idx val="1"/>
              <c:layout>
                <c:manualLayout>
                  <c:x val="0.10833333333333334"/>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25-4B5B-A57D-2D096A31F289}"/>
                </c:ext>
              </c:extLst>
            </c:dLbl>
            <c:dLbl>
              <c:idx val="2"/>
              <c:layout>
                <c:manualLayout>
                  <c:x val="-0.17837645543261196"/>
                  <c:y val="-0.126671007928213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25-4B5B-A57D-2D096A31F289}"/>
                </c:ext>
              </c:extLst>
            </c:dLbl>
            <c:dLbl>
              <c:idx val="3"/>
              <c:layout>
                <c:manualLayout>
                  <c:x val="0.136111111111111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25-4B5B-A57D-2D096A31F289}"/>
                </c:ext>
              </c:extLst>
            </c:dLbl>
            <c:dLbl>
              <c:idx val="4"/>
              <c:layout>
                <c:manualLayout>
                  <c:x val="0.1361111111111111"/>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25-4B5B-A57D-2D096A31F289}"/>
                </c:ext>
              </c:extLst>
            </c:dLbl>
            <c:dLbl>
              <c:idx val="5"/>
              <c:layout>
                <c:manualLayout>
                  <c:x val="0.22400955121335087"/>
                  <c:y val="9.259261528132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325-4B5B-A57D-2D096A31F289}"/>
                </c:ext>
              </c:extLst>
            </c:dLbl>
            <c:dLbl>
              <c:idx val="6"/>
              <c:layout>
                <c:manualLayout>
                  <c:x val="-0.15555555555555556"/>
                  <c:y val="5.55555555555553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325-4B5B-A57D-2D096A31F2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Sheet2!$A$36:$A$43</c:f>
              <c:strCache>
                <c:ptCount val="7"/>
                <c:pt idx="0">
                  <c:v>Action Figure</c:v>
                </c:pt>
                <c:pt idx="1">
                  <c:v>Blender</c:v>
                </c:pt>
                <c:pt idx="2">
                  <c:v>Moisturizer</c:v>
                </c:pt>
                <c:pt idx="3">
                  <c:v>Novel</c:v>
                </c:pt>
                <c:pt idx="4">
                  <c:v>Smartphone</c:v>
                </c:pt>
                <c:pt idx="5">
                  <c:v>Sneakers</c:v>
                </c:pt>
                <c:pt idx="6">
                  <c:v>Tent</c:v>
                </c:pt>
              </c:strCache>
            </c:strRef>
          </c:cat>
          <c:val>
            <c:numRef>
              <c:f>Sheet2!$B$36:$B$43</c:f>
              <c:numCache>
                <c:formatCode>_ "Rs."\ * #,##0_ ;_ "Rs."\ * \-#,##0_ ;_ "Rs."\ * "-"_ ;_ @_ </c:formatCode>
                <c:ptCount val="7"/>
                <c:pt idx="0">
                  <c:v>182400</c:v>
                </c:pt>
                <c:pt idx="1">
                  <c:v>635000</c:v>
                </c:pt>
                <c:pt idx="2">
                  <c:v>235600</c:v>
                </c:pt>
                <c:pt idx="3">
                  <c:v>269400</c:v>
                </c:pt>
                <c:pt idx="4">
                  <c:v>705000</c:v>
                </c:pt>
                <c:pt idx="5">
                  <c:v>799000</c:v>
                </c:pt>
                <c:pt idx="6">
                  <c:v>1008000</c:v>
                </c:pt>
              </c:numCache>
            </c:numRef>
          </c:val>
          <c:extLst>
            <c:ext xmlns:c16="http://schemas.microsoft.com/office/drawing/2014/chart" uri="{C3380CC4-5D6E-409C-BE32-E72D297353CC}">
              <c16:uniqueId val="{0000000E-4325-4B5B-A57D-2D096A31F28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[Sales.RT.xlsx]Sheet5!PivotTable11</c:name>
    <c:fmtId val="9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Units</a:t>
            </a:r>
            <a:r>
              <a:rPr lang="en-US" sz="1600" b="1" baseline="0">
                <a:solidFill>
                  <a:schemeClr val="tx1"/>
                </a:solidFill>
              </a:rPr>
              <a:t> Sold By Salespersons</a:t>
            </a:r>
            <a:endParaRPr lang="en-US" sz="1600" b="1">
              <a:solidFill>
                <a:schemeClr val="tx1"/>
              </a:solidFill>
            </a:endParaRPr>
          </a:p>
        </c:rich>
      </c:tx>
      <c:layout>
        <c:manualLayout>
          <c:xMode val="edge"/>
          <c:yMode val="edge"/>
          <c:x val="0.2994661035322233"/>
          <c:y val="1.86995058127978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685772304575851E-2"/>
          <c:y val="0.11871069606824489"/>
          <c:w val="0.93504142414317559"/>
          <c:h val="0.63415275778446689"/>
        </c:manualLayout>
      </c:layout>
      <c:bar3DChart>
        <c:barDir val="col"/>
        <c:grouping val="standard"/>
        <c:varyColors val="0"/>
        <c:ser>
          <c:idx val="0"/>
          <c:order val="0"/>
          <c:tx>
            <c:strRef>
              <c:f>Sheet5!$B$3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Sheet5!$B$4:$B$14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extLst>
            <c:ext xmlns:c16="http://schemas.microsoft.com/office/drawing/2014/chart" uri="{C3380CC4-5D6E-409C-BE32-E72D297353CC}">
              <c16:uniqueId val="{00000000-AB13-410B-B970-F62E5DC649CD}"/>
            </c:ext>
          </c:extLst>
        </c:ser>
        <c:dLbls>
          <c:showLegendKey val="0"/>
          <c:showVal val="1"/>
          <c:showCatName val="0"/>
          <c:showSerName val="0"/>
          <c:showPercent val="0"/>
          <c:showBubbleSize val="0"/>
        </c:dLbls>
        <c:gapWidth val="150"/>
        <c:shape val="box"/>
        <c:axId val="71644351"/>
        <c:axId val="71646751"/>
        <c:axId val="2039717183"/>
      </c:bar3DChart>
      <c:catAx>
        <c:axId val="71644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1646751"/>
        <c:crosses val="autoZero"/>
        <c:auto val="1"/>
        <c:lblAlgn val="ctr"/>
        <c:lblOffset val="100"/>
        <c:noMultiLvlLbl val="0"/>
      </c:catAx>
      <c:valAx>
        <c:axId val="71646751"/>
        <c:scaling>
          <c:orientation val="minMax"/>
        </c:scaling>
        <c:delete val="1"/>
        <c:axPos val="l"/>
        <c:numFmt formatCode="General" sourceLinked="1"/>
        <c:majorTickMark val="out"/>
        <c:minorTickMark val="none"/>
        <c:tickLblPos val="nextTo"/>
        <c:crossAx val="71644351"/>
        <c:crosses val="autoZero"/>
        <c:crossBetween val="between"/>
      </c:valAx>
      <c:serAx>
        <c:axId val="2039717183"/>
        <c:scaling>
          <c:orientation val="minMax"/>
        </c:scaling>
        <c:delete val="1"/>
        <c:axPos val="b"/>
        <c:majorTickMark val="out"/>
        <c:minorTickMark val="none"/>
        <c:tickLblPos val="nextTo"/>
        <c:crossAx val="71646751"/>
        <c:crosses val="autoZero"/>
      </c:serAx>
      <c:spPr>
        <a:solidFill>
          <a:schemeClr val="bg1"/>
        </a:solidFill>
        <a:ln>
          <a:noFill/>
        </a:ln>
        <a:effectLst/>
      </c:spPr>
    </c:plotArea>
    <c:legend>
      <c:legendPos val="b"/>
      <c:legendEntry>
        <c:idx val="0"/>
        <c:txPr>
          <a:bodyPr rot="0" spcFirstLastPara="1" vertOverflow="ellipsis" vert="horz" wrap="square" anchor="ctr" anchorCtr="1"/>
          <a:lstStyle/>
          <a:p>
            <a:pPr>
              <a:defRPr sz="1710" b="1" i="0" u="none" strike="noStrike" kern="1200" baseline="0">
                <a:solidFill>
                  <a:schemeClr val="tx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71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[Sales.RT.xlsx]Sheet3!PivotTable8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471-46FA-B762-52AB781705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5471-46FA-B762-52AB781705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5471-46FA-B762-52AB781705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5471-46FA-B762-52AB7817058D}"/>
              </c:ext>
            </c:extLst>
          </c:dPt>
          <c:dLbls>
            <c:dLbl>
              <c:idx val="0"/>
              <c:layout>
                <c:manualLayout>
                  <c:x val="7.2601010101009986E-2"/>
                  <c:y val="-1.85185185185185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5471-46FA-B762-52AB7817058D}"/>
                </c:ext>
              </c:extLst>
            </c:dLbl>
            <c:dLbl>
              <c:idx val="1"/>
              <c:layout>
                <c:manualLayout>
                  <c:x val="6.9444444444444448E-2"/>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6-5471-46FA-B762-52AB7817058D}"/>
                </c:ext>
              </c:extLst>
            </c:dLbl>
            <c:dLbl>
              <c:idx val="2"/>
              <c:layout>
                <c:manualLayout>
                  <c:x val="-0.1041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5471-46FA-B762-52AB7817058D}"/>
                </c:ext>
              </c:extLst>
            </c:dLbl>
            <c:dLbl>
              <c:idx val="3"/>
              <c:layout>
                <c:manualLayout>
                  <c:x val="-3.7878787878787908E-2"/>
                  <c:y val="-4.166666666666668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8-5471-46FA-B762-52AB7817058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Sheet3!$A$5:$A$9</c:f>
              <c:strCache>
                <c:ptCount val="4"/>
                <c:pt idx="0">
                  <c:v>East</c:v>
                </c:pt>
                <c:pt idx="1">
                  <c:v>North</c:v>
                </c:pt>
                <c:pt idx="2">
                  <c:v>South</c:v>
                </c:pt>
                <c:pt idx="3">
                  <c:v>West</c:v>
                </c:pt>
              </c:strCache>
            </c:strRef>
          </c:cat>
          <c:val>
            <c:numRef>
              <c:f>Sheet3!$B$5:$B$9</c:f>
              <c:numCache>
                <c:formatCode>_ "Rs."\ * #,##0_ ;_ "Rs."\ * \-#,##0_ ;_ "Rs."\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0-5471-46FA-B762-52AB7817058D}"/>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[Sales.RT.xlsx]Sheet3!PivotTable9</c:name>
    <c:fmtId val="29"/>
  </c:pivotSource>
  <c:chart>
    <c:title>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4829931972789115E-2"/>
              <c:y val="-0.33202271734381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0826669127296589E-2"/>
              <c:y val="-0.39919581593181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408163265306121E-2"/>
              <c:y val="-0.123743629192344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083168175406645"/>
              <c:y val="-0.314547837483617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5873015873015914E-2"/>
              <c:y val="-0.144167758846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5873015873015789E-2"/>
              <c:y val="-0.158803599056155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535147392290083E-3"/>
              <c:y val="-0.419397116644823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5711567933203"/>
          <c:y val="5.896267683520693E-2"/>
          <c:w val="0.8237487008754778"/>
          <c:h val="0.8008616847422374"/>
        </c:manualLayout>
      </c:layout>
      <c:barChart>
        <c:barDir val="col"/>
        <c:grouping val="stacked"/>
        <c:varyColors val="0"/>
        <c:ser>
          <c:idx val="0"/>
          <c:order val="0"/>
          <c:tx>
            <c:strRef>
              <c:f>Sheet3!$M$4</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4FFF-4085-B79F-AE572D4DB7D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4FFF-4085-B79F-AE572D4DB7DE}"/>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4FFF-4085-B79F-AE572D4DB7DE}"/>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4FFF-4085-B79F-AE572D4DB7DE}"/>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4FFF-4085-B79F-AE572D4DB7DE}"/>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8-4FFF-4085-B79F-AE572D4DB7DE}"/>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3-4FFF-4085-B79F-AE572D4DB7DE}"/>
              </c:ext>
            </c:extLst>
          </c:dPt>
          <c:dLbls>
            <c:dLbl>
              <c:idx val="0"/>
              <c:layout>
                <c:manualLayout>
                  <c:x val="2.0408163265306121E-2"/>
                  <c:y val="-0.123743629192344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FF-4085-B79F-AE572D4DB7DE}"/>
                </c:ext>
              </c:extLst>
            </c:dLbl>
            <c:dLbl>
              <c:idx val="1"/>
              <c:layout>
                <c:manualLayout>
                  <c:x val="0.11083168175406645"/>
                  <c:y val="-0.314547837483617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FF-4085-B79F-AE572D4DB7DE}"/>
                </c:ext>
              </c:extLst>
            </c:dLbl>
            <c:dLbl>
              <c:idx val="2"/>
              <c:layout>
                <c:manualLayout>
                  <c:x val="-1.5873015873015914E-2"/>
                  <c:y val="-0.1441677588466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FF-4085-B79F-AE572D4DB7DE}"/>
                </c:ext>
              </c:extLst>
            </c:dLbl>
            <c:dLbl>
              <c:idx val="3"/>
              <c:layout>
                <c:manualLayout>
                  <c:x val="1.5873015873015789E-2"/>
                  <c:y val="-0.158803599056155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FF-4085-B79F-AE572D4DB7DE}"/>
                </c:ext>
              </c:extLst>
            </c:dLbl>
            <c:dLbl>
              <c:idx val="4"/>
              <c:layout>
                <c:manualLayout>
                  <c:x val="-7.4829931972789115E-2"/>
                  <c:y val="-0.3320227173438182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FF-4085-B79F-AE572D4DB7DE}"/>
                </c:ext>
              </c:extLst>
            </c:dLbl>
            <c:dLbl>
              <c:idx val="5"/>
              <c:layout>
                <c:manualLayout>
                  <c:x val="4.535147392290083E-3"/>
                  <c:y val="-0.419397116644823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FFF-4085-B79F-AE572D4DB7DE}"/>
                </c:ext>
              </c:extLst>
            </c:dLbl>
            <c:dLbl>
              <c:idx val="6"/>
              <c:layout>
                <c:manualLayout>
                  <c:x val="2.0826669127296589E-2"/>
                  <c:y val="-0.3991958159318135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FF-4085-B79F-AE572D4DB7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Sheet3!$L$5:$L$12</c:f>
              <c:strCache>
                <c:ptCount val="7"/>
                <c:pt idx="0">
                  <c:v>Action Figure</c:v>
                </c:pt>
                <c:pt idx="1">
                  <c:v>Blender</c:v>
                </c:pt>
                <c:pt idx="2">
                  <c:v>Moisturizer</c:v>
                </c:pt>
                <c:pt idx="3">
                  <c:v>Novel</c:v>
                </c:pt>
                <c:pt idx="4">
                  <c:v>Smartphone</c:v>
                </c:pt>
                <c:pt idx="5">
                  <c:v>Sneakers</c:v>
                </c:pt>
                <c:pt idx="6">
                  <c:v>Tent</c:v>
                </c:pt>
              </c:strCache>
            </c:strRef>
          </c:cat>
          <c:val>
            <c:numRef>
              <c:f>Sheet3!$M$5:$M$12</c:f>
              <c:numCache>
                <c:formatCode>_ "Rs."\ * #,##0_ ;_ "Rs."\ * \-#,##0_ ;_ "Rs."\ * "-"_ ;_ @_ </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4FFF-4085-B79F-AE572D4DB7DE}"/>
            </c:ext>
          </c:extLst>
        </c:ser>
        <c:dLbls>
          <c:dLblPos val="ctr"/>
          <c:showLegendKey val="0"/>
          <c:showVal val="1"/>
          <c:showCatName val="0"/>
          <c:showSerName val="0"/>
          <c:showPercent val="0"/>
          <c:showBubbleSize val="0"/>
        </c:dLbls>
        <c:gapWidth val="150"/>
        <c:overlap val="100"/>
        <c:axId val="310674271"/>
        <c:axId val="310676191"/>
      </c:barChart>
      <c:catAx>
        <c:axId val="31067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76191"/>
        <c:crosses val="autoZero"/>
        <c:auto val="1"/>
        <c:lblAlgn val="ctr"/>
        <c:lblOffset val="100"/>
        <c:noMultiLvlLbl val="0"/>
      </c:catAx>
      <c:valAx>
        <c:axId val="310676191"/>
        <c:scaling>
          <c:orientation val="minMax"/>
        </c:scaling>
        <c:delete val="0"/>
        <c:axPos val="l"/>
        <c:numFmt formatCode="_ &quot;Rs.&quot;\ * #,##0_ ;_ &quot;Rs.&quot;\ * \-#,##0_ ;_ &quot;Rs.&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67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[Sales.RT.xlsx]Sheet5!PivotTable11</c:name>
    <c:fmtId val="8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20000"/>
                <a:lumOff val="80000"/>
              </a:schemeClr>
            </a:solidFill>
          </a:ln>
          <a:effectLst/>
          <a:sp3d>
            <a:contourClr>
              <a:schemeClr val="tx2">
                <a:lumMod val="20000"/>
                <a:lumOff val="8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20000"/>
                <a:lumOff val="80000"/>
              </a:schemeClr>
            </a:solidFill>
          </a:ln>
          <a:effectLst/>
          <a:sp3d>
            <a:contourClr>
              <a:schemeClr val="tx2">
                <a:lumMod val="20000"/>
                <a:lumOff val="80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2">
                  <a:lumMod val="20000"/>
                  <a:lumOff val="80000"/>
                </a:schemeClr>
              </a:solidFill>
            </a:ln>
            <a:effectLst/>
            <a:sp3d>
              <a:contourClr>
                <a:schemeClr val="tx2">
                  <a:lumMod val="20000"/>
                  <a:lumOff val="8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Sheet5!$A$4:$A$14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Sheet5!$B$4:$B$14</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extLst>
            <c:ext xmlns:c16="http://schemas.microsoft.com/office/drawing/2014/chart" uri="{C3380CC4-5D6E-409C-BE32-E72D297353CC}">
              <c16:uniqueId val="{00000000-2EBF-4954-B082-782A434EC4F3}"/>
            </c:ext>
          </c:extLst>
        </c:ser>
        <c:dLbls>
          <c:showLegendKey val="0"/>
          <c:showVal val="1"/>
          <c:showCatName val="0"/>
          <c:showSerName val="0"/>
          <c:showPercent val="0"/>
          <c:showBubbleSize val="0"/>
        </c:dLbls>
        <c:gapWidth val="150"/>
        <c:shape val="box"/>
        <c:axId val="71644351"/>
        <c:axId val="71646751"/>
        <c:axId val="2039717183"/>
      </c:bar3DChart>
      <c:catAx>
        <c:axId val="71644351"/>
        <c:scaling>
          <c:orientation val="minMax"/>
        </c:scaling>
        <c:delete val="1"/>
        <c:axPos val="b"/>
        <c:numFmt formatCode="General" sourceLinked="1"/>
        <c:majorTickMark val="out"/>
        <c:minorTickMark val="none"/>
        <c:tickLblPos val="nextTo"/>
        <c:crossAx val="71646751"/>
        <c:crosses val="autoZero"/>
        <c:auto val="1"/>
        <c:lblAlgn val="ctr"/>
        <c:lblOffset val="100"/>
        <c:noMultiLvlLbl val="0"/>
      </c:catAx>
      <c:valAx>
        <c:axId val="71646751"/>
        <c:scaling>
          <c:orientation val="minMax"/>
        </c:scaling>
        <c:delete val="1"/>
        <c:axPos val="l"/>
        <c:numFmt formatCode="General" sourceLinked="1"/>
        <c:majorTickMark val="out"/>
        <c:minorTickMark val="none"/>
        <c:tickLblPos val="nextTo"/>
        <c:crossAx val="71644351"/>
        <c:crosses val="autoZero"/>
        <c:crossBetween val="between"/>
      </c:valAx>
      <c:serAx>
        <c:axId val="2039717183"/>
        <c:scaling>
          <c:orientation val="minMax"/>
        </c:scaling>
        <c:delete val="1"/>
        <c:axPos val="b"/>
        <c:majorTickMark val="out"/>
        <c:minorTickMark val="none"/>
        <c:tickLblPos val="nextTo"/>
        <c:crossAx val="71646751"/>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9.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10.xml"/><Relationship Id="rId9" Type="http://schemas.openxmlformats.org/officeDocument/2006/relationships/image" Target="../media/image5.png"/><Relationship Id="rId14" Type="http://schemas.openxmlformats.org/officeDocument/2006/relationships/image" Target="../media/image10.svg"/></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48847</xdr:colOff>
      <xdr:row>0</xdr:row>
      <xdr:rowOff>40249</xdr:rowOff>
    </xdr:from>
    <xdr:to>
      <xdr:col>24</xdr:col>
      <xdr:colOff>508000</xdr:colOff>
      <xdr:row>6</xdr:row>
      <xdr:rowOff>29308</xdr:rowOff>
    </xdr:to>
    <xdr:sp macro="" textlink="">
      <xdr:nvSpPr>
        <xdr:cNvPr id="5" name="Rectangle: Rounded Corners 4">
          <a:extLst>
            <a:ext uri="{FF2B5EF4-FFF2-40B4-BE49-F238E27FC236}">
              <a16:creationId xmlns:a16="http://schemas.microsoft.com/office/drawing/2014/main" id="{E2099A1A-28E0-400A-99C5-A320B090A4DA}"/>
            </a:ext>
          </a:extLst>
        </xdr:cNvPr>
        <xdr:cNvSpPr/>
      </xdr:nvSpPr>
      <xdr:spPr>
        <a:xfrm>
          <a:off x="48847" y="40249"/>
          <a:ext cx="14995768" cy="1102751"/>
        </a:xfrm>
        <a:prstGeom prst="roundRect">
          <a:avLst>
            <a:gd name="adj" fmla="val 24105"/>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200" b="1" cap="none" spc="0">
            <a:ln w="12700" cmpd="sng">
              <a:solidFill>
                <a:schemeClr val="accent4"/>
              </a:solidFill>
              <a:prstDash val="solid"/>
            </a:ln>
            <a:solidFill>
              <a:schemeClr val="tx2">
                <a:lumMod val="75000"/>
              </a:schemeClr>
            </a:solidFill>
            <a:effectLst/>
            <a:latin typeface="+mn-lt"/>
            <a:ea typeface="+mn-ea"/>
            <a:cs typeface="+mn-cs"/>
          </a:endParaRPr>
        </a:p>
      </xdr:txBody>
    </xdr:sp>
    <xdr:clientData/>
  </xdr:twoCellAnchor>
  <xdr:twoCellAnchor>
    <xdr:from>
      <xdr:col>0</xdr:col>
      <xdr:colOff>118247</xdr:colOff>
      <xdr:row>7</xdr:row>
      <xdr:rowOff>1366</xdr:rowOff>
    </xdr:from>
    <xdr:to>
      <xdr:col>5</xdr:col>
      <xdr:colOff>166077</xdr:colOff>
      <xdr:row>13</xdr:row>
      <xdr:rowOff>146537</xdr:rowOff>
    </xdr:to>
    <xdr:grpSp>
      <xdr:nvGrpSpPr>
        <xdr:cNvPr id="58" name="Group 57">
          <a:extLst>
            <a:ext uri="{FF2B5EF4-FFF2-40B4-BE49-F238E27FC236}">
              <a16:creationId xmlns:a16="http://schemas.microsoft.com/office/drawing/2014/main" id="{CA71100B-86BF-EF75-2D11-0ABE619637A4}"/>
            </a:ext>
          </a:extLst>
        </xdr:cNvPr>
        <xdr:cNvGrpSpPr/>
      </xdr:nvGrpSpPr>
      <xdr:grpSpPr>
        <a:xfrm>
          <a:off x="118247" y="1262130"/>
          <a:ext cx="3095830" cy="1225825"/>
          <a:chOff x="1017015" y="1339752"/>
          <a:chExt cx="2402216" cy="1032022"/>
        </a:xfrm>
      </xdr:grpSpPr>
      <xdr:sp macro="" textlink="">
        <xdr:nvSpPr>
          <xdr:cNvPr id="6" name="Rectangle: Rounded Corners 5">
            <a:extLst>
              <a:ext uri="{FF2B5EF4-FFF2-40B4-BE49-F238E27FC236}">
                <a16:creationId xmlns:a16="http://schemas.microsoft.com/office/drawing/2014/main" id="{1E57CE77-26A3-64FD-66F1-30BC35945611}"/>
              </a:ext>
            </a:extLst>
          </xdr:cNvPr>
          <xdr:cNvSpPr/>
        </xdr:nvSpPr>
        <xdr:spPr>
          <a:xfrm>
            <a:off x="1094156" y="1339752"/>
            <a:ext cx="2325075"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cap="none" spc="0">
              <a:ln w="12700" cmpd="sng">
                <a:solidFill>
                  <a:schemeClr val="accent4"/>
                </a:solidFill>
                <a:prstDash val="solid"/>
              </a:ln>
              <a:solidFill>
                <a:schemeClr val="tx2">
                  <a:lumMod val="75000"/>
                </a:schemeClr>
              </a:solidFill>
              <a:effectLst/>
            </a:endParaRPr>
          </a:p>
        </xdr:txBody>
      </xdr:sp>
      <xdr:grpSp>
        <xdr:nvGrpSpPr>
          <xdr:cNvPr id="28" name="Group 27">
            <a:extLst>
              <a:ext uri="{FF2B5EF4-FFF2-40B4-BE49-F238E27FC236}">
                <a16:creationId xmlns:a16="http://schemas.microsoft.com/office/drawing/2014/main" id="{211CFEF2-23D0-5541-3489-A4BCDA1860FD}"/>
              </a:ext>
            </a:extLst>
          </xdr:cNvPr>
          <xdr:cNvGrpSpPr/>
        </xdr:nvGrpSpPr>
        <xdr:grpSpPr>
          <a:xfrm>
            <a:off x="1017015" y="1341902"/>
            <a:ext cx="2272530" cy="1029872"/>
            <a:chOff x="0" y="1005840"/>
            <a:chExt cx="2269651" cy="1013460"/>
          </a:xfrm>
        </xdr:grpSpPr>
        <xdr:sp macro="" textlink="">
          <xdr:nvSpPr>
            <xdr:cNvPr id="7" name="Rectangle: Rounded Corners 6">
              <a:extLst>
                <a:ext uri="{FF2B5EF4-FFF2-40B4-BE49-F238E27FC236}">
                  <a16:creationId xmlns:a16="http://schemas.microsoft.com/office/drawing/2014/main" id="{971EE51B-40B8-897E-9110-4C8F3FA58A93}"/>
                </a:ext>
              </a:extLst>
            </xdr:cNvPr>
            <xdr:cNvSpPr/>
          </xdr:nvSpPr>
          <xdr:spPr>
            <a:xfrm rot="5400000">
              <a:off x="-85725" y="1091565"/>
              <a:ext cx="1013460" cy="84201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cap="none" spc="0">
                <a:ln w="12700" cmpd="sng">
                  <a:solidFill>
                    <a:schemeClr val="accent4"/>
                  </a:solidFill>
                  <a:prstDash val="solid"/>
                </a:ln>
                <a:solidFill>
                  <a:schemeClr val="tx2">
                    <a:lumMod val="75000"/>
                  </a:schemeClr>
                </a:solidFill>
                <a:effectLst/>
              </a:endParaRPr>
            </a:p>
          </xdr:txBody>
        </xdr:sp>
        <xdr:sp macro="" textlink="">
          <xdr:nvSpPr>
            <xdr:cNvPr id="18" name="TextBox 17">
              <a:extLst>
                <a:ext uri="{FF2B5EF4-FFF2-40B4-BE49-F238E27FC236}">
                  <a16:creationId xmlns:a16="http://schemas.microsoft.com/office/drawing/2014/main" id="{6A55FD7F-1AE2-B13F-3535-DE10B2AE5665}"/>
                </a:ext>
              </a:extLst>
            </xdr:cNvPr>
            <xdr:cNvSpPr txBox="1"/>
          </xdr:nvSpPr>
          <xdr:spPr>
            <a:xfrm>
              <a:off x="1005432" y="1016106"/>
              <a:ext cx="1052492"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Sales</a:t>
              </a:r>
            </a:p>
            <a:p>
              <a:endParaRPr lang="en-IN" sz="1600" b="1" cap="none" spc="0">
                <a:ln w="12700" cmpd="sng">
                  <a:solidFill>
                    <a:schemeClr val="accent4"/>
                  </a:solidFill>
                  <a:prstDash val="solid"/>
                </a:ln>
                <a:solidFill>
                  <a:schemeClr val="tx2">
                    <a:lumMod val="75000"/>
                  </a:schemeClr>
                </a:solidFill>
                <a:effectLst/>
              </a:endParaRPr>
            </a:p>
          </xdr:txBody>
        </xdr:sp>
        <xdr:sp macro="" textlink="Sheet1!$K$4">
          <xdr:nvSpPr>
            <xdr:cNvPr id="24" name="TextBox 23">
              <a:extLst>
                <a:ext uri="{FF2B5EF4-FFF2-40B4-BE49-F238E27FC236}">
                  <a16:creationId xmlns:a16="http://schemas.microsoft.com/office/drawing/2014/main" id="{1A322113-F291-FD9B-6F1E-37E0643CB588}"/>
                </a:ext>
              </a:extLst>
            </xdr:cNvPr>
            <xdr:cNvSpPr txBox="1"/>
          </xdr:nvSpPr>
          <xdr:spPr>
            <a:xfrm>
              <a:off x="990600" y="1478280"/>
              <a:ext cx="1279051" cy="438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1400" b="0" i="0" u="none" strike="noStrike" cap="none" spc="0">
                  <a:ln w="0"/>
                  <a:solidFill>
                    <a:srgbClr val="C00000"/>
                  </a:solidFill>
                  <a:effectLst>
                    <a:outerShdw blurRad="50800" dist="38100" dir="2700000" algn="tl" rotWithShape="0">
                      <a:prstClr val="black">
                        <a:alpha val="40000"/>
                      </a:prstClr>
                    </a:outerShdw>
                  </a:effectLst>
                  <a:latin typeface="Aptos Narrow"/>
                </a:rPr>
                <a:pPr/>
                <a:t> </a:t>
              </a:fld>
              <a:r>
                <a:rPr lang="en-IN" sz="1400" b="0" i="0" u="none" strike="noStrike" cap="none" spc="0">
                  <a:ln w="0"/>
                  <a:solidFill>
                    <a:srgbClr val="C00000"/>
                  </a:solidFill>
                  <a:effectLst>
                    <a:outerShdw blurRad="50800" dist="38100" dir="2700000" algn="tl" rotWithShape="0">
                      <a:prstClr val="black">
                        <a:alpha val="40000"/>
                      </a:prstClr>
                    </a:outerShdw>
                  </a:effectLst>
                  <a:latin typeface="+mn-lt"/>
                  <a:ea typeface="+mn-ea"/>
                  <a:cs typeface="+mn-cs"/>
                </a:rPr>
                <a:t> </a:t>
              </a:r>
              <a:r>
                <a:rPr lang="en-IN" sz="2000" b="0" i="0" u="none" strike="noStrike" cap="none" spc="0">
                  <a:ln w="0"/>
                  <a:solidFill>
                    <a:srgbClr val="C00000"/>
                  </a:solidFill>
                  <a:effectLst>
                    <a:outerShdw blurRad="50800" dist="38100" dir="2700000" algn="tl" rotWithShape="0">
                      <a:prstClr val="black">
                        <a:alpha val="40000"/>
                      </a:prstClr>
                    </a:outerShdw>
                  </a:effectLst>
                  <a:latin typeface="+mn-lt"/>
                  <a:ea typeface="+mn-ea"/>
                  <a:cs typeface="+mn-cs"/>
                </a:rPr>
                <a:t>1,29,44,500</a:t>
              </a:r>
              <a:r>
                <a:rPr lang="en-IN" sz="1400" b="0" i="0" u="none" strike="noStrike" cap="none" spc="0">
                  <a:ln w="0"/>
                  <a:solidFill>
                    <a:srgbClr val="C00000"/>
                  </a:solidFill>
                  <a:effectLst>
                    <a:outerShdw blurRad="50800" dist="38100" dir="2700000" algn="tl" rotWithShape="0">
                      <a:prstClr val="black">
                        <a:alpha val="40000"/>
                      </a:prstClr>
                    </a:outerShdw>
                  </a:effectLst>
                  <a:latin typeface="+mn-lt"/>
                  <a:ea typeface="+mn-ea"/>
                  <a:cs typeface="+mn-cs"/>
                </a:rPr>
                <a:t> </a:t>
              </a:r>
              <a:endParaRPr lang="en-US" sz="1400" b="0" cap="none" spc="0">
                <a:ln w="0"/>
                <a:solidFill>
                  <a:srgbClr val="C00000"/>
                </a:solidFill>
                <a:effectLst>
                  <a:outerShdw blurRad="50800" dist="38100" dir="2700000" algn="tl" rotWithShape="0">
                    <a:prstClr val="black">
                      <a:alpha val="40000"/>
                    </a:prstClr>
                  </a:outerShdw>
                </a:effectLst>
              </a:endParaRPr>
            </a:p>
          </xdr:txBody>
        </xdr:sp>
      </xdr:grpSp>
    </xdr:grpSp>
    <xdr:clientData/>
  </xdr:twoCellAnchor>
  <xdr:twoCellAnchor>
    <xdr:from>
      <xdr:col>5</xdr:col>
      <xdr:colOff>390769</xdr:colOff>
      <xdr:row>6</xdr:row>
      <xdr:rowOff>157798</xdr:rowOff>
    </xdr:from>
    <xdr:to>
      <xdr:col>10</xdr:col>
      <xdr:colOff>407096</xdr:colOff>
      <xdr:row>13</xdr:row>
      <xdr:rowOff>126999</xdr:rowOff>
    </xdr:to>
    <xdr:grpSp>
      <xdr:nvGrpSpPr>
        <xdr:cNvPr id="47" name="Group 46">
          <a:extLst>
            <a:ext uri="{FF2B5EF4-FFF2-40B4-BE49-F238E27FC236}">
              <a16:creationId xmlns:a16="http://schemas.microsoft.com/office/drawing/2014/main" id="{7A0A397B-6463-D263-2EA3-378A6DBBC895}"/>
            </a:ext>
          </a:extLst>
        </xdr:cNvPr>
        <xdr:cNvGrpSpPr/>
      </xdr:nvGrpSpPr>
      <xdr:grpSpPr>
        <a:xfrm>
          <a:off x="3438769" y="1238453"/>
          <a:ext cx="3064327" cy="1229964"/>
          <a:chOff x="2387548" y="1027260"/>
          <a:chExt cx="2265902" cy="1031778"/>
        </a:xfrm>
      </xdr:grpSpPr>
      <xdr:grpSp>
        <xdr:nvGrpSpPr>
          <xdr:cNvPr id="30" name="Group 29">
            <a:extLst>
              <a:ext uri="{FF2B5EF4-FFF2-40B4-BE49-F238E27FC236}">
                <a16:creationId xmlns:a16="http://schemas.microsoft.com/office/drawing/2014/main" id="{E89236E6-5FD0-78D4-FDE7-3196229ACC37}"/>
              </a:ext>
            </a:extLst>
          </xdr:cNvPr>
          <xdr:cNvGrpSpPr/>
        </xdr:nvGrpSpPr>
        <xdr:grpSpPr>
          <a:xfrm>
            <a:off x="2387548" y="1027260"/>
            <a:ext cx="2248539" cy="1031778"/>
            <a:chOff x="2399210" y="1013460"/>
            <a:chExt cx="2264230" cy="1015456"/>
          </a:xfrm>
        </xdr:grpSpPr>
        <xdr:sp macro="" textlink="">
          <xdr:nvSpPr>
            <xdr:cNvPr id="8" name="Rectangle: Rounded Corners 7">
              <a:extLst>
                <a:ext uri="{FF2B5EF4-FFF2-40B4-BE49-F238E27FC236}">
                  <a16:creationId xmlns:a16="http://schemas.microsoft.com/office/drawing/2014/main" id="{95C6B411-FA7D-3D1B-2E37-938223D5E1AD}"/>
                </a:ext>
              </a:extLst>
            </xdr:cNvPr>
            <xdr:cNvSpPr/>
          </xdr:nvSpPr>
          <xdr:spPr>
            <a:xfrm>
              <a:off x="2430780" y="1013460"/>
              <a:ext cx="2232660" cy="1013460"/>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A4A7DFD9-D6DA-7649-41C3-055233ED35F0}"/>
                </a:ext>
              </a:extLst>
            </xdr:cNvPr>
            <xdr:cNvSpPr/>
          </xdr:nvSpPr>
          <xdr:spPr>
            <a:xfrm rot="5400000">
              <a:off x="2313485" y="1101181"/>
              <a:ext cx="1013460" cy="84201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21" name="TextBox 20">
            <a:extLst>
              <a:ext uri="{FF2B5EF4-FFF2-40B4-BE49-F238E27FC236}">
                <a16:creationId xmlns:a16="http://schemas.microsoft.com/office/drawing/2014/main" id="{B739FD28-C08A-458E-79B3-98F793305221}"/>
              </a:ext>
            </a:extLst>
          </xdr:cNvPr>
          <xdr:cNvSpPr txBox="1"/>
        </xdr:nvSpPr>
        <xdr:spPr>
          <a:xfrm>
            <a:off x="3340060" y="1113253"/>
            <a:ext cx="1313390"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Products</a:t>
            </a:r>
          </a:p>
          <a:p>
            <a:endParaRPr lang="en-IN" sz="1800" b="0" cap="none" spc="0">
              <a:ln w="0"/>
              <a:solidFill>
                <a:schemeClr val="tx1"/>
              </a:solidFill>
              <a:effectLst>
                <a:outerShdw blurRad="38100" dist="19050" dir="2700000" algn="tl" rotWithShape="0">
                  <a:schemeClr val="dk1">
                    <a:alpha val="40000"/>
                  </a:schemeClr>
                </a:outerShdw>
              </a:effectLst>
            </a:endParaRPr>
          </a:p>
        </xdr:txBody>
      </xdr:sp>
      <xdr:sp macro="" textlink="Sheet1!$K$4">
        <xdr:nvSpPr>
          <xdr:cNvPr id="25" name="TextBox 24">
            <a:extLst>
              <a:ext uri="{FF2B5EF4-FFF2-40B4-BE49-F238E27FC236}">
                <a16:creationId xmlns:a16="http://schemas.microsoft.com/office/drawing/2014/main" id="{CC60636F-AEA5-A713-7C62-5B8C3C1B6003}"/>
              </a:ext>
            </a:extLst>
          </xdr:cNvPr>
          <xdr:cNvSpPr txBox="1"/>
        </xdr:nvSpPr>
        <xdr:spPr>
          <a:xfrm>
            <a:off x="3362309" y="1507165"/>
            <a:ext cx="1127564" cy="254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2000" b="0" i="0" u="none" strike="noStrike" cap="none" spc="0">
                <a:ln w="0"/>
                <a:solidFill>
                  <a:schemeClr val="accent1"/>
                </a:solidFill>
                <a:effectLst>
                  <a:outerShdw blurRad="50800" dist="38100" dir="2700000" algn="tl" rotWithShape="0">
                    <a:prstClr val="black">
                      <a:alpha val="40000"/>
                    </a:prstClr>
                  </a:outerShdw>
                </a:effectLst>
                <a:latin typeface="Aptos Narrow"/>
              </a:rPr>
              <a:pPr/>
              <a:t> </a:t>
            </a:fld>
            <a:r>
              <a:rPr lang="en-IN" sz="20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2000" b="0" i="0" u="none" strike="noStrike" cap="none" spc="0">
                <a:ln w="0"/>
                <a:solidFill>
                  <a:srgbClr val="C00000"/>
                </a:solidFill>
                <a:effectLst>
                  <a:outerShdw blurRad="50800" dist="38100" dir="2700000" algn="tl" rotWithShape="0">
                    <a:prstClr val="black">
                      <a:alpha val="40000"/>
                    </a:prstClr>
                  </a:outerShdw>
                </a:effectLst>
                <a:latin typeface="+mn-lt"/>
                <a:ea typeface="+mn-ea"/>
                <a:cs typeface="+mn-cs"/>
              </a:rPr>
              <a:t>4705</a:t>
            </a:r>
            <a:r>
              <a:rPr lang="en-IN" sz="2000" b="0" cap="none" spc="0">
                <a:ln w="0"/>
                <a:solidFill>
                  <a:schemeClr val="accent1"/>
                </a:solidFill>
                <a:effectLst>
                  <a:outerShdw blurRad="50800" dist="38100" dir="2700000" algn="tl" rotWithShape="0">
                    <a:prstClr val="black">
                      <a:alpha val="40000"/>
                    </a:prstClr>
                  </a:outerShdw>
                </a:effectLst>
              </a:rPr>
              <a:t> </a:t>
            </a:r>
            <a:r>
              <a:rPr lang="en-IN" sz="2000" b="0" i="0" u="none" strike="noStrike" cap="none" spc="0" baseline="0">
                <a:ln w="0"/>
                <a:solidFill>
                  <a:schemeClr val="accent1"/>
                </a:solidFill>
                <a:effectLst>
                  <a:outerShdw blurRad="50800" dist="38100" dir="2700000" algn="tl" rotWithShape="0">
                    <a:prstClr val="black">
                      <a:alpha val="40000"/>
                    </a:prstClr>
                  </a:outerShdw>
                </a:effectLst>
                <a:latin typeface="+mn-lt"/>
                <a:ea typeface="+mn-ea"/>
                <a:cs typeface="+mn-cs"/>
              </a:rPr>
              <a:t>  </a:t>
            </a:r>
          </a:p>
          <a:p>
            <a:r>
              <a:rPr lang="en-IN" sz="20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endParaRPr lang="en-US" sz="2000" b="0" cap="none" spc="0">
              <a:ln w="0"/>
              <a:solidFill>
                <a:schemeClr val="accent1"/>
              </a:solidFill>
              <a:effectLst>
                <a:outerShdw blurRad="50800" dist="38100" dir="2700000" algn="tl" rotWithShape="0">
                  <a:prstClr val="black">
                    <a:alpha val="40000"/>
                  </a:prstClr>
                </a:outerShdw>
              </a:effectLst>
            </a:endParaRPr>
          </a:p>
        </xdr:txBody>
      </xdr:sp>
    </xdr:grpSp>
    <xdr:clientData/>
  </xdr:twoCellAnchor>
  <xdr:twoCellAnchor>
    <xdr:from>
      <xdr:col>16</xdr:col>
      <xdr:colOff>19538</xdr:colOff>
      <xdr:row>7</xdr:row>
      <xdr:rowOff>19538</xdr:rowOff>
    </xdr:from>
    <xdr:to>
      <xdr:col>20</xdr:col>
      <xdr:colOff>371230</xdr:colOff>
      <xdr:row>13</xdr:row>
      <xdr:rowOff>97692</xdr:rowOff>
    </xdr:to>
    <xdr:grpSp>
      <xdr:nvGrpSpPr>
        <xdr:cNvPr id="44" name="Group 43">
          <a:extLst>
            <a:ext uri="{FF2B5EF4-FFF2-40B4-BE49-F238E27FC236}">
              <a16:creationId xmlns:a16="http://schemas.microsoft.com/office/drawing/2014/main" id="{75E88E7C-84FC-1350-D853-2C53D807678A}"/>
            </a:ext>
          </a:extLst>
        </xdr:cNvPr>
        <xdr:cNvGrpSpPr/>
      </xdr:nvGrpSpPr>
      <xdr:grpSpPr>
        <a:xfrm>
          <a:off x="9773138" y="1280302"/>
          <a:ext cx="2790092" cy="1158808"/>
          <a:chOff x="4796106" y="1019517"/>
          <a:chExt cx="2369429" cy="1029872"/>
        </a:xfrm>
      </xdr:grpSpPr>
      <xdr:grpSp>
        <xdr:nvGrpSpPr>
          <xdr:cNvPr id="43" name="Group 42">
            <a:extLst>
              <a:ext uri="{FF2B5EF4-FFF2-40B4-BE49-F238E27FC236}">
                <a16:creationId xmlns:a16="http://schemas.microsoft.com/office/drawing/2014/main" id="{0E681069-41A9-7023-548B-A7A02185C996}"/>
              </a:ext>
            </a:extLst>
          </xdr:cNvPr>
          <xdr:cNvGrpSpPr/>
        </xdr:nvGrpSpPr>
        <xdr:grpSpPr>
          <a:xfrm>
            <a:off x="4796106" y="1019517"/>
            <a:ext cx="2369429" cy="1029872"/>
            <a:chOff x="4796106" y="1019517"/>
            <a:chExt cx="2369429" cy="1029872"/>
          </a:xfrm>
        </xdr:grpSpPr>
        <xdr:sp macro="" textlink="">
          <xdr:nvSpPr>
            <xdr:cNvPr id="9" name="Rectangle: Rounded Corners 8">
              <a:extLst>
                <a:ext uri="{FF2B5EF4-FFF2-40B4-BE49-F238E27FC236}">
                  <a16:creationId xmlns:a16="http://schemas.microsoft.com/office/drawing/2014/main" id="{012086F0-3485-9F1D-1CB3-898105603570}"/>
                </a:ext>
              </a:extLst>
            </xdr:cNvPr>
            <xdr:cNvSpPr/>
          </xdr:nvSpPr>
          <xdr:spPr>
            <a:xfrm>
              <a:off x="4841826" y="1019517"/>
              <a:ext cx="2323709"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3545D85-773C-43CD-07A1-FC86CD88A896}"/>
                </a:ext>
              </a:extLst>
            </xdr:cNvPr>
            <xdr:cNvSpPr/>
          </xdr:nvSpPr>
          <xdr:spPr>
            <a:xfrm rot="5400000">
              <a:off x="4698268" y="1117355"/>
              <a:ext cx="1029872" cy="834195"/>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22" name="TextBox 21">
            <a:extLst>
              <a:ext uri="{FF2B5EF4-FFF2-40B4-BE49-F238E27FC236}">
                <a16:creationId xmlns:a16="http://schemas.microsoft.com/office/drawing/2014/main" id="{6C169D5F-2A4C-33E0-6D30-4042119152CD}"/>
              </a:ext>
            </a:extLst>
          </xdr:cNvPr>
          <xdr:cNvSpPr txBox="1"/>
        </xdr:nvSpPr>
        <xdr:spPr>
          <a:xfrm>
            <a:off x="5635537" y="1088097"/>
            <a:ext cx="1480379"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Average</a:t>
            </a:r>
            <a:r>
              <a:rPr lang="en-IN" sz="2000" b="0" cap="none" spc="0" baseline="0">
                <a:ln w="0"/>
                <a:solidFill>
                  <a:schemeClr val="tx1"/>
                </a:solidFill>
                <a:effectLst>
                  <a:outerShdw blurRad="38100" dist="19050" dir="2700000" algn="tl" rotWithShape="0">
                    <a:schemeClr val="dk1">
                      <a:alpha val="40000"/>
                    </a:schemeClr>
                  </a:outerShdw>
                </a:effectLst>
              </a:rPr>
              <a:t> Sales</a:t>
            </a:r>
            <a:endParaRPr lang="en-IN" sz="2000" b="1" baseline="0">
              <a:solidFill>
                <a:schemeClr val="accent6">
                  <a:lumMod val="60000"/>
                  <a:lumOff val="40000"/>
                </a:schemeClr>
              </a:solidFill>
            </a:endParaRPr>
          </a:p>
          <a:p>
            <a:endParaRPr lang="en-IN" sz="1400" b="1">
              <a:solidFill>
                <a:schemeClr val="accent6">
                  <a:lumMod val="60000"/>
                  <a:lumOff val="40000"/>
                </a:schemeClr>
              </a:solidFill>
            </a:endParaRPr>
          </a:p>
        </xdr:txBody>
      </xdr:sp>
      <xdr:sp macro="" textlink="Sheet1!$K$4">
        <xdr:nvSpPr>
          <xdr:cNvPr id="26" name="TextBox 25">
            <a:extLst>
              <a:ext uri="{FF2B5EF4-FFF2-40B4-BE49-F238E27FC236}">
                <a16:creationId xmlns:a16="http://schemas.microsoft.com/office/drawing/2014/main" id="{E79D797C-65E1-FFCC-8394-01AA8F310D56}"/>
              </a:ext>
            </a:extLst>
          </xdr:cNvPr>
          <xdr:cNvSpPr txBox="1"/>
        </xdr:nvSpPr>
        <xdr:spPr>
          <a:xfrm>
            <a:off x="5619666" y="1519157"/>
            <a:ext cx="1241864" cy="256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1800" b="0" i="0" u="none" strike="noStrike" cap="none" spc="0">
                <a:ln w="0"/>
                <a:solidFill>
                  <a:srgbClr val="C00000"/>
                </a:solidFill>
                <a:effectLst>
                  <a:outerShdw blurRad="38100" dist="25400" dir="5400000" algn="ctr" rotWithShape="0">
                    <a:srgbClr val="6E747A">
                      <a:alpha val="43000"/>
                    </a:srgbClr>
                  </a:outerShdw>
                </a:effectLst>
                <a:latin typeface="Aptos Narrow"/>
              </a:rPr>
              <a:pPr/>
              <a:t> </a:t>
            </a:fld>
            <a:r>
              <a:rPr lang="en-IN" sz="1800" b="0" i="0" u="none" strike="noStrike" cap="none" spc="0">
                <a:ln w="0"/>
                <a:solidFill>
                  <a:srgbClr val="C00000"/>
                </a:solidFill>
                <a:effectLst>
                  <a:outerShdw blurRad="38100" dist="25400" dir="5400000" algn="ctr" rotWithShape="0">
                    <a:srgbClr val="6E747A">
                      <a:alpha val="43000"/>
                    </a:srgbClr>
                  </a:outerShdw>
                </a:effectLst>
                <a:latin typeface="+mn-lt"/>
                <a:ea typeface="+mn-ea"/>
                <a:cs typeface="+mn-cs"/>
              </a:rPr>
              <a:t>       </a:t>
            </a:r>
            <a:r>
              <a:rPr lang="en-IN" sz="2000" b="0" i="0" u="none" strike="noStrike" cap="none" spc="0">
                <a:ln w="0"/>
                <a:solidFill>
                  <a:srgbClr val="C00000"/>
                </a:solidFill>
                <a:effectLst>
                  <a:outerShdw blurRad="38100" dist="25400" dir="5400000" algn="ctr" rotWithShape="0">
                    <a:srgbClr val="6E747A">
                      <a:alpha val="43000"/>
                    </a:srgbClr>
                  </a:outerShdw>
                </a:effectLst>
                <a:latin typeface="+mn-lt"/>
                <a:ea typeface="+mn-ea"/>
                <a:cs typeface="+mn-cs"/>
              </a:rPr>
              <a:t>2,58,890</a:t>
            </a:r>
            <a:r>
              <a:rPr lang="en-IN" sz="1800" b="0" i="0" u="none" strike="noStrike" cap="none" spc="0">
                <a:ln w="0"/>
                <a:solidFill>
                  <a:srgbClr val="C00000"/>
                </a:solidFill>
                <a:effectLst>
                  <a:outerShdw blurRad="38100" dist="25400" dir="5400000" algn="ctr" rotWithShape="0">
                    <a:srgbClr val="6E747A">
                      <a:alpha val="43000"/>
                    </a:srgbClr>
                  </a:outerShdw>
                </a:effectLst>
                <a:latin typeface="+mn-lt"/>
                <a:ea typeface="+mn-ea"/>
                <a:cs typeface="+mn-cs"/>
              </a:rPr>
              <a:t>  </a:t>
            </a:r>
            <a:endParaRPr lang="en-US" sz="1800" b="0" cap="none" spc="0">
              <a:ln w="0"/>
              <a:solidFill>
                <a:srgbClr val="C00000"/>
              </a:solidFill>
              <a:effectLst>
                <a:outerShdw blurRad="38100" dist="25400" dir="5400000" algn="ctr" rotWithShape="0">
                  <a:srgbClr val="6E747A">
                    <a:alpha val="43000"/>
                  </a:srgbClr>
                </a:outerShdw>
              </a:effectLst>
            </a:endParaRPr>
          </a:p>
        </xdr:txBody>
      </xdr:sp>
    </xdr:grpSp>
    <xdr:clientData/>
  </xdr:twoCellAnchor>
  <xdr:twoCellAnchor>
    <xdr:from>
      <xdr:col>11</xdr:col>
      <xdr:colOff>19537</xdr:colOff>
      <xdr:row>6</xdr:row>
      <xdr:rowOff>161974</xdr:rowOff>
    </xdr:from>
    <xdr:to>
      <xdr:col>15</xdr:col>
      <xdr:colOff>400538</xdr:colOff>
      <xdr:row>13</xdr:row>
      <xdr:rowOff>107462</xdr:rowOff>
    </xdr:to>
    <xdr:grpSp>
      <xdr:nvGrpSpPr>
        <xdr:cNvPr id="46" name="Group 45">
          <a:extLst>
            <a:ext uri="{FF2B5EF4-FFF2-40B4-BE49-F238E27FC236}">
              <a16:creationId xmlns:a16="http://schemas.microsoft.com/office/drawing/2014/main" id="{5F7585B4-50E0-7BFD-6285-99425FA1D67F}"/>
            </a:ext>
          </a:extLst>
        </xdr:cNvPr>
        <xdr:cNvGrpSpPr/>
      </xdr:nvGrpSpPr>
      <xdr:grpSpPr>
        <a:xfrm>
          <a:off x="6725137" y="1242629"/>
          <a:ext cx="2819401" cy="1206251"/>
          <a:chOff x="7283547" y="1011897"/>
          <a:chExt cx="2281898" cy="1029873"/>
        </a:xfrm>
      </xdr:grpSpPr>
      <xdr:grpSp>
        <xdr:nvGrpSpPr>
          <xdr:cNvPr id="45" name="Group 44">
            <a:extLst>
              <a:ext uri="{FF2B5EF4-FFF2-40B4-BE49-F238E27FC236}">
                <a16:creationId xmlns:a16="http://schemas.microsoft.com/office/drawing/2014/main" id="{79A37C95-BF30-6B43-7529-5EFA750920E7}"/>
              </a:ext>
            </a:extLst>
          </xdr:cNvPr>
          <xdr:cNvGrpSpPr/>
        </xdr:nvGrpSpPr>
        <xdr:grpSpPr>
          <a:xfrm>
            <a:off x="7283547" y="1011897"/>
            <a:ext cx="2281898" cy="1029873"/>
            <a:chOff x="7283547" y="1011897"/>
            <a:chExt cx="2281898" cy="1029873"/>
          </a:xfrm>
        </xdr:grpSpPr>
        <xdr:sp macro="" textlink="">
          <xdr:nvSpPr>
            <xdr:cNvPr id="14" name="Rectangle: Rounded Corners 13">
              <a:extLst>
                <a:ext uri="{FF2B5EF4-FFF2-40B4-BE49-F238E27FC236}">
                  <a16:creationId xmlns:a16="http://schemas.microsoft.com/office/drawing/2014/main" id="{0DA24534-4AD2-433D-9AEE-54055E0DC9D9}"/>
                </a:ext>
              </a:extLst>
            </xdr:cNvPr>
            <xdr:cNvSpPr/>
          </xdr:nvSpPr>
          <xdr:spPr>
            <a:xfrm>
              <a:off x="7314250" y="1011897"/>
              <a:ext cx="2251195"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03D0D8D9-F596-2D77-345D-94AA76E8A287}"/>
                </a:ext>
              </a:extLst>
            </xdr:cNvPr>
            <xdr:cNvSpPr/>
          </xdr:nvSpPr>
          <xdr:spPr>
            <a:xfrm rot="5400000">
              <a:off x="7214886" y="1080559"/>
              <a:ext cx="1029872" cy="89255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23" name="TextBox 22">
            <a:extLst>
              <a:ext uri="{FF2B5EF4-FFF2-40B4-BE49-F238E27FC236}">
                <a16:creationId xmlns:a16="http://schemas.microsoft.com/office/drawing/2014/main" id="{BB2E4868-BCDB-E5F3-6709-CDFF43359847}"/>
              </a:ext>
            </a:extLst>
          </xdr:cNvPr>
          <xdr:cNvSpPr txBox="1"/>
        </xdr:nvSpPr>
        <xdr:spPr>
          <a:xfrm>
            <a:off x="8278984" y="1043648"/>
            <a:ext cx="1257806"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Total Profit</a:t>
            </a:r>
          </a:p>
          <a:p>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Sheet1!$K$4">
        <xdr:nvSpPr>
          <xdr:cNvPr id="27" name="TextBox 26">
            <a:extLst>
              <a:ext uri="{FF2B5EF4-FFF2-40B4-BE49-F238E27FC236}">
                <a16:creationId xmlns:a16="http://schemas.microsoft.com/office/drawing/2014/main" id="{742A1176-A245-8AD0-4BC8-23C40C4AAA47}"/>
              </a:ext>
            </a:extLst>
          </xdr:cNvPr>
          <xdr:cNvSpPr txBox="1"/>
        </xdr:nvSpPr>
        <xdr:spPr>
          <a:xfrm>
            <a:off x="8151504" y="1500164"/>
            <a:ext cx="1269161"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1800" b="0" i="0" u="none" strike="noStrike" cap="none" spc="0" baseline="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2000" b="0" i="0" u="none" strike="noStrike" cap="none" spc="0">
                <a:ln w="0"/>
                <a:solidFill>
                  <a:srgbClr val="C00000"/>
                </a:solidFill>
                <a:effectLst>
                  <a:outerShdw blurRad="38100" dist="19050" dir="2700000" algn="tl" rotWithShape="0">
                    <a:schemeClr val="dk1">
                      <a:alpha val="40000"/>
                    </a:schemeClr>
                  </a:outerShdw>
                </a:effectLst>
                <a:latin typeface="+mn-lt"/>
                <a:ea typeface="+mn-ea"/>
                <a:cs typeface="+mn-cs"/>
              </a:rPr>
              <a:t>38,34,400</a:t>
            </a:r>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endParaRPr lang="en-US" sz="1800" b="0" cap="none" spc="0">
              <a:ln w="0"/>
              <a:solidFill>
                <a:schemeClr val="accent1"/>
              </a:solidFill>
              <a:effectLst>
                <a:outerShdw blurRad="50800" dist="38100" dir="2700000" algn="tl" rotWithShape="0">
                  <a:prstClr val="black">
                    <a:alpha val="40000"/>
                  </a:prstClr>
                </a:outerShdw>
              </a:effectLst>
            </a:endParaRPr>
          </a:p>
        </xdr:txBody>
      </xdr:sp>
    </xdr:grpSp>
    <xdr:clientData/>
  </xdr:twoCellAnchor>
  <xdr:twoCellAnchor>
    <xdr:from>
      <xdr:col>16</xdr:col>
      <xdr:colOff>19538</xdr:colOff>
      <xdr:row>15</xdr:row>
      <xdr:rowOff>69554</xdr:rowOff>
    </xdr:from>
    <xdr:to>
      <xdr:col>25</xdr:col>
      <xdr:colOff>9768</xdr:colOff>
      <xdr:row>35</xdr:row>
      <xdr:rowOff>68385</xdr:rowOff>
    </xdr:to>
    <xdr:grpSp>
      <xdr:nvGrpSpPr>
        <xdr:cNvPr id="52" name="Group 51">
          <a:extLst>
            <a:ext uri="{FF2B5EF4-FFF2-40B4-BE49-F238E27FC236}">
              <a16:creationId xmlns:a16="http://schemas.microsoft.com/office/drawing/2014/main" id="{E879A3F3-AE55-3671-3706-11C4AF9241B5}"/>
            </a:ext>
          </a:extLst>
        </xdr:cNvPr>
        <xdr:cNvGrpSpPr/>
      </xdr:nvGrpSpPr>
      <xdr:grpSpPr>
        <a:xfrm>
          <a:off x="9773138" y="2771190"/>
          <a:ext cx="5476630" cy="3601013"/>
          <a:chOff x="6476999" y="3449708"/>
          <a:chExt cx="3526693" cy="2656060"/>
        </a:xfrm>
        <a:effectLst>
          <a:outerShdw blurRad="50800" dist="38100" dir="2700000" algn="tl" rotWithShape="0">
            <a:prstClr val="black">
              <a:alpha val="40000"/>
            </a:prstClr>
          </a:outerShdw>
        </a:effectLst>
      </xdr:grpSpPr>
      <xdr:sp macro="" textlink="">
        <xdr:nvSpPr>
          <xdr:cNvPr id="38" name="Rectangle: Rounded Corners 37">
            <a:extLst>
              <a:ext uri="{FF2B5EF4-FFF2-40B4-BE49-F238E27FC236}">
                <a16:creationId xmlns:a16="http://schemas.microsoft.com/office/drawing/2014/main" id="{CF6A4BAF-ADEA-BEBB-8A34-B6BACEC92ACA}"/>
              </a:ext>
            </a:extLst>
          </xdr:cNvPr>
          <xdr:cNvSpPr/>
        </xdr:nvSpPr>
        <xdr:spPr>
          <a:xfrm>
            <a:off x="6476999" y="3449708"/>
            <a:ext cx="3526693" cy="2656060"/>
          </a:xfrm>
          <a:prstGeom prst="roundRect">
            <a:avLst>
              <a:gd name="adj" fmla="val 13071"/>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p>
        </xdr:txBody>
      </xdr:sp>
      <xdr:graphicFrame macro="">
        <xdr:nvGraphicFramePr>
          <xdr:cNvPr id="39" name="Chart 38">
            <a:extLst>
              <a:ext uri="{FF2B5EF4-FFF2-40B4-BE49-F238E27FC236}">
                <a16:creationId xmlns:a16="http://schemas.microsoft.com/office/drawing/2014/main" id="{2FBF07FF-A73A-4665-961F-E4D066827E4A}"/>
              </a:ext>
            </a:extLst>
          </xdr:cNvPr>
          <xdr:cNvGraphicFramePr>
            <a:graphicFrameLocks/>
          </xdr:cNvGraphicFramePr>
        </xdr:nvGraphicFramePr>
        <xdr:xfrm>
          <a:off x="6604942" y="3607896"/>
          <a:ext cx="3279761" cy="23633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224691</xdr:colOff>
      <xdr:row>14</xdr:row>
      <xdr:rowOff>68383</xdr:rowOff>
    </xdr:from>
    <xdr:to>
      <xdr:col>5</xdr:col>
      <xdr:colOff>254000</xdr:colOff>
      <xdr:row>35</xdr:row>
      <xdr:rowOff>87922</xdr:rowOff>
    </xdr:to>
    <xdr:grpSp>
      <xdr:nvGrpSpPr>
        <xdr:cNvPr id="53" name="Group 52">
          <a:extLst>
            <a:ext uri="{FF2B5EF4-FFF2-40B4-BE49-F238E27FC236}">
              <a16:creationId xmlns:a16="http://schemas.microsoft.com/office/drawing/2014/main" id="{15C4D72D-E437-84D9-57A4-77D3E8E57582}"/>
            </a:ext>
          </a:extLst>
        </xdr:cNvPr>
        <xdr:cNvGrpSpPr/>
      </xdr:nvGrpSpPr>
      <xdr:grpSpPr>
        <a:xfrm>
          <a:off x="224691" y="2589910"/>
          <a:ext cx="3077309" cy="3801830"/>
          <a:chOff x="176237" y="4943231"/>
          <a:chExt cx="2012071" cy="3214077"/>
        </a:xfrm>
        <a:effectLst>
          <a:outerShdw blurRad="50800" dist="38100" dir="2700000" algn="tl" rotWithShape="0">
            <a:prstClr val="black">
              <a:alpha val="40000"/>
            </a:prstClr>
          </a:outerShdw>
        </a:effectLst>
      </xdr:grpSpPr>
      <xdr:sp macro="" textlink="">
        <xdr:nvSpPr>
          <xdr:cNvPr id="35" name="Rectangle: Rounded Corners 34">
            <a:extLst>
              <a:ext uri="{FF2B5EF4-FFF2-40B4-BE49-F238E27FC236}">
                <a16:creationId xmlns:a16="http://schemas.microsoft.com/office/drawing/2014/main" id="{E6457E9B-8C82-B4FE-BFCB-25AC8E929EB6}"/>
              </a:ext>
            </a:extLst>
          </xdr:cNvPr>
          <xdr:cNvSpPr/>
        </xdr:nvSpPr>
        <xdr:spPr>
          <a:xfrm>
            <a:off x="176237" y="4943231"/>
            <a:ext cx="2012071" cy="3214077"/>
          </a:xfrm>
          <a:prstGeom prst="roundRect">
            <a:avLst>
              <a:gd name="adj" fmla="val 8496"/>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7331CCAA-A58C-454D-90CB-273B22D2AD96}"/>
                  </a:ext>
                </a:extLst>
              </xdr:cNvPr>
              <xdr:cNvGraphicFramePr/>
            </xdr:nvGraphicFramePr>
            <xdr:xfrm>
              <a:off x="275661" y="5040923"/>
              <a:ext cx="1824028" cy="2983152"/>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376752" y="2705467"/>
                <a:ext cx="2789712" cy="3528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410980</xdr:colOff>
      <xdr:row>37</xdr:row>
      <xdr:rowOff>40146</xdr:rowOff>
    </xdr:from>
    <xdr:to>
      <xdr:col>25</xdr:col>
      <xdr:colOff>283976</xdr:colOff>
      <xdr:row>61</xdr:row>
      <xdr:rowOff>169422</xdr:rowOff>
    </xdr:to>
    <xdr:grpSp>
      <xdr:nvGrpSpPr>
        <xdr:cNvPr id="89" name="Group 88">
          <a:extLst>
            <a:ext uri="{FF2B5EF4-FFF2-40B4-BE49-F238E27FC236}">
              <a16:creationId xmlns:a16="http://schemas.microsoft.com/office/drawing/2014/main" id="{F613C7B6-1090-0B3A-6C87-5CD38C71277F}"/>
            </a:ext>
          </a:extLst>
        </xdr:cNvPr>
        <xdr:cNvGrpSpPr/>
      </xdr:nvGrpSpPr>
      <xdr:grpSpPr>
        <a:xfrm>
          <a:off x="8945380" y="6704182"/>
          <a:ext cx="6578596" cy="4451895"/>
          <a:chOff x="8876487" y="6939900"/>
          <a:chExt cx="6532667" cy="4638646"/>
        </a:xfrm>
      </xdr:grpSpPr>
      <xdr:sp macro="" textlink="">
        <xdr:nvSpPr>
          <xdr:cNvPr id="54" name="Rectangle: Rounded Corners 53">
            <a:extLst>
              <a:ext uri="{FF2B5EF4-FFF2-40B4-BE49-F238E27FC236}">
                <a16:creationId xmlns:a16="http://schemas.microsoft.com/office/drawing/2014/main" id="{8C67FC25-57D1-D344-C4B6-F5736560AFFA}"/>
              </a:ext>
            </a:extLst>
          </xdr:cNvPr>
          <xdr:cNvSpPr/>
        </xdr:nvSpPr>
        <xdr:spPr>
          <a:xfrm>
            <a:off x="8876487" y="6939900"/>
            <a:ext cx="6532667" cy="4638646"/>
          </a:xfrm>
          <a:prstGeom prst="roundRect">
            <a:avLst>
              <a:gd name="adj" fmla="val 14982"/>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5" name="Chart 54">
            <a:extLst>
              <a:ext uri="{FF2B5EF4-FFF2-40B4-BE49-F238E27FC236}">
                <a16:creationId xmlns:a16="http://schemas.microsoft.com/office/drawing/2014/main" id="{D08E1CD3-07EA-456A-941E-CC979FC5ECF4}"/>
              </a:ext>
            </a:extLst>
          </xdr:cNvPr>
          <xdr:cNvGraphicFramePr>
            <a:graphicFrameLocks/>
          </xdr:cNvGraphicFramePr>
        </xdr:nvGraphicFramePr>
        <xdr:xfrm>
          <a:off x="9091808" y="7400794"/>
          <a:ext cx="6031472" cy="39898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127001</xdr:colOff>
      <xdr:row>35</xdr:row>
      <xdr:rowOff>157480</xdr:rowOff>
    </xdr:from>
    <xdr:to>
      <xdr:col>5</xdr:col>
      <xdr:colOff>302847</xdr:colOff>
      <xdr:row>62</xdr:row>
      <xdr:rowOff>19538</xdr:rowOff>
    </xdr:to>
    <xdr:sp macro="" textlink="">
      <xdr:nvSpPr>
        <xdr:cNvPr id="60" name="Rectangle: Rounded Corners 59">
          <a:extLst>
            <a:ext uri="{FF2B5EF4-FFF2-40B4-BE49-F238E27FC236}">
              <a16:creationId xmlns:a16="http://schemas.microsoft.com/office/drawing/2014/main" id="{C56547B4-AFB1-90EC-3404-22D4AE215242}"/>
            </a:ext>
          </a:extLst>
        </xdr:cNvPr>
        <xdr:cNvSpPr/>
      </xdr:nvSpPr>
      <xdr:spPr>
        <a:xfrm>
          <a:off x="127001" y="6654018"/>
          <a:ext cx="3204308" cy="4873674"/>
        </a:xfrm>
        <a:prstGeom prst="roundRect">
          <a:avLst>
            <a:gd name="adj" fmla="val 9296"/>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editAs="oneCell">
    <xdr:from>
      <xdr:col>0</xdr:col>
      <xdr:colOff>371231</xdr:colOff>
      <xdr:row>37</xdr:row>
      <xdr:rowOff>19538</xdr:rowOff>
    </xdr:from>
    <xdr:to>
      <xdr:col>4</xdr:col>
      <xdr:colOff>597462</xdr:colOff>
      <xdr:row>57</xdr:row>
      <xdr:rowOff>123230</xdr:rowOff>
    </xdr:to>
    <mc:AlternateContent xmlns:mc="http://schemas.openxmlformats.org/markup-compatibility/2006" xmlns:a14="http://schemas.microsoft.com/office/drawing/2010/main">
      <mc:Choice Requires="a14">
        <xdr:graphicFrame macro="">
          <xdr:nvGraphicFramePr>
            <xdr:cNvPr id="61" name="Sales Person 1">
              <a:extLst>
                <a:ext uri="{FF2B5EF4-FFF2-40B4-BE49-F238E27FC236}">
                  <a16:creationId xmlns:a16="http://schemas.microsoft.com/office/drawing/2014/main" id="{1EF9CEA8-1AB4-4182-85DC-4921D9FEB0D6}"/>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371231" y="6683574"/>
              <a:ext cx="2664631" cy="370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517769</xdr:colOff>
      <xdr:row>7</xdr:row>
      <xdr:rowOff>23050</xdr:rowOff>
    </xdr:from>
    <xdr:to>
      <xdr:col>24</xdr:col>
      <xdr:colOff>566615</xdr:colOff>
      <xdr:row>13</xdr:row>
      <xdr:rowOff>107460</xdr:rowOff>
    </xdr:to>
    <xdr:grpSp>
      <xdr:nvGrpSpPr>
        <xdr:cNvPr id="66" name="Group 65">
          <a:extLst>
            <a:ext uri="{FF2B5EF4-FFF2-40B4-BE49-F238E27FC236}">
              <a16:creationId xmlns:a16="http://schemas.microsoft.com/office/drawing/2014/main" id="{0272A63B-18D7-5126-FE3E-58C256FB7C61}"/>
            </a:ext>
          </a:extLst>
        </xdr:cNvPr>
        <xdr:cNvGrpSpPr/>
      </xdr:nvGrpSpPr>
      <xdr:grpSpPr>
        <a:xfrm>
          <a:off x="12709769" y="1283814"/>
          <a:ext cx="2487246" cy="1165064"/>
          <a:chOff x="13120075" y="2973358"/>
          <a:chExt cx="2471615" cy="1198102"/>
        </a:xfrm>
        <a:solidFill>
          <a:schemeClr val="accent5">
            <a:lumMod val="20000"/>
            <a:lumOff val="80000"/>
          </a:schemeClr>
        </a:solidFill>
      </xdr:grpSpPr>
      <xdr:grpSp>
        <xdr:nvGrpSpPr>
          <xdr:cNvPr id="51" name="Group 50">
            <a:extLst>
              <a:ext uri="{FF2B5EF4-FFF2-40B4-BE49-F238E27FC236}">
                <a16:creationId xmlns:a16="http://schemas.microsoft.com/office/drawing/2014/main" id="{6D7EF442-5952-DEB9-E723-9D7CB539E6F9}"/>
              </a:ext>
            </a:extLst>
          </xdr:cNvPr>
          <xdr:cNvGrpSpPr/>
        </xdr:nvGrpSpPr>
        <xdr:grpSpPr>
          <a:xfrm>
            <a:off x="13120075" y="2973358"/>
            <a:ext cx="2471615" cy="1198102"/>
            <a:chOff x="2909469" y="2270644"/>
            <a:chExt cx="2052646" cy="1534974"/>
          </a:xfrm>
          <a:grpFill/>
        </xdr:grpSpPr>
        <xdr:sp macro="" textlink="">
          <xdr:nvSpPr>
            <xdr:cNvPr id="31" name="Rectangle: Rounded Corners 30">
              <a:extLst>
                <a:ext uri="{FF2B5EF4-FFF2-40B4-BE49-F238E27FC236}">
                  <a16:creationId xmlns:a16="http://schemas.microsoft.com/office/drawing/2014/main" id="{D1ED6324-C726-EB0D-3C57-D646EA0C3387}"/>
                </a:ext>
              </a:extLst>
            </xdr:cNvPr>
            <xdr:cNvSpPr/>
          </xdr:nvSpPr>
          <xdr:spPr>
            <a:xfrm>
              <a:off x="2909469" y="2270644"/>
              <a:ext cx="2052646" cy="1534974"/>
            </a:xfrm>
            <a:prstGeom prst="roundRect">
              <a:avLst>
                <a:gd name="adj" fmla="val 26908"/>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grpSp>
      <mc:AlternateContent xmlns:mc="http://schemas.openxmlformats.org/markup-compatibility/2006" xmlns:a14="http://schemas.microsoft.com/office/drawing/2010/main">
        <mc:Choice Requires="a14">
          <xdr:graphicFrame macro="">
            <xdr:nvGraphicFramePr>
              <xdr:cNvPr id="65" name="Region 1">
                <a:extLst>
                  <a:ext uri="{FF2B5EF4-FFF2-40B4-BE49-F238E27FC236}">
                    <a16:creationId xmlns:a16="http://schemas.microsoft.com/office/drawing/2014/main" id="{1F9E3B68-F39E-D3AF-EBD0-82542D118E99}"/>
                  </a:ext>
                </a:extLst>
              </xdr:cNvPr>
              <xdr:cNvGraphicFramePr/>
            </xdr:nvGraphicFramePr>
            <xdr:xfrm>
              <a:off x="13297291" y="3107984"/>
              <a:ext cx="2137576" cy="95601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88106" y="1414728"/>
                <a:ext cx="2151094" cy="929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459153</xdr:colOff>
      <xdr:row>15</xdr:row>
      <xdr:rowOff>19538</xdr:rowOff>
    </xdr:from>
    <xdr:to>
      <xdr:col>15</xdr:col>
      <xdr:colOff>293077</xdr:colOff>
      <xdr:row>35</xdr:row>
      <xdr:rowOff>107461</xdr:rowOff>
    </xdr:to>
    <xdr:sp macro="" textlink="">
      <xdr:nvSpPr>
        <xdr:cNvPr id="67" name="Rectangle: Rounded Corners 66">
          <a:extLst>
            <a:ext uri="{FF2B5EF4-FFF2-40B4-BE49-F238E27FC236}">
              <a16:creationId xmlns:a16="http://schemas.microsoft.com/office/drawing/2014/main" id="{07415052-D07A-7DFF-7D3F-87BE856AF061}"/>
            </a:ext>
          </a:extLst>
        </xdr:cNvPr>
        <xdr:cNvSpPr/>
      </xdr:nvSpPr>
      <xdr:spPr>
        <a:xfrm>
          <a:off x="3487615" y="2803769"/>
          <a:ext cx="5890847" cy="3800230"/>
        </a:xfrm>
        <a:prstGeom prst="roundRect">
          <a:avLst>
            <a:gd name="adj" fmla="val 18918"/>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595923</xdr:colOff>
      <xdr:row>16</xdr:row>
      <xdr:rowOff>117231</xdr:rowOff>
    </xdr:from>
    <xdr:to>
      <xdr:col>15</xdr:col>
      <xdr:colOff>107461</xdr:colOff>
      <xdr:row>34</xdr:row>
      <xdr:rowOff>0</xdr:rowOff>
    </xdr:to>
    <xdr:graphicFrame macro="">
      <xdr:nvGraphicFramePr>
        <xdr:cNvPr id="68" name="Chart 67">
          <a:extLst>
            <a:ext uri="{FF2B5EF4-FFF2-40B4-BE49-F238E27FC236}">
              <a16:creationId xmlns:a16="http://schemas.microsoft.com/office/drawing/2014/main" id="{BC0FBEB2-86EF-4CAD-98F6-E79D888A1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37</xdr:row>
      <xdr:rowOff>10940</xdr:rowOff>
    </xdr:from>
    <xdr:to>
      <xdr:col>14</xdr:col>
      <xdr:colOff>156309</xdr:colOff>
      <xdr:row>61</xdr:row>
      <xdr:rowOff>175846</xdr:rowOff>
    </xdr:to>
    <xdr:grpSp>
      <xdr:nvGrpSpPr>
        <xdr:cNvPr id="88" name="Group 87">
          <a:extLst>
            <a:ext uri="{FF2B5EF4-FFF2-40B4-BE49-F238E27FC236}">
              <a16:creationId xmlns:a16="http://schemas.microsoft.com/office/drawing/2014/main" id="{8DEC19E1-8AE6-FD58-8414-29182F766D32}"/>
            </a:ext>
          </a:extLst>
        </xdr:cNvPr>
        <xdr:cNvGrpSpPr/>
      </xdr:nvGrpSpPr>
      <xdr:grpSpPr>
        <a:xfrm>
          <a:off x="3556000" y="6674976"/>
          <a:ext cx="5134709" cy="4487525"/>
          <a:chOff x="3535123" y="6962885"/>
          <a:chExt cx="5097131" cy="4674276"/>
        </a:xfrm>
      </xdr:grpSpPr>
      <xdr:sp macro="" textlink="">
        <xdr:nvSpPr>
          <xdr:cNvPr id="71" name="Rectangle: Rounded Corners 70">
            <a:extLst>
              <a:ext uri="{FF2B5EF4-FFF2-40B4-BE49-F238E27FC236}">
                <a16:creationId xmlns:a16="http://schemas.microsoft.com/office/drawing/2014/main" id="{94B1A8FE-9815-D499-1C07-52928F306713}"/>
              </a:ext>
            </a:extLst>
          </xdr:cNvPr>
          <xdr:cNvSpPr/>
        </xdr:nvSpPr>
        <xdr:spPr>
          <a:xfrm>
            <a:off x="3535123" y="6962885"/>
            <a:ext cx="5097131" cy="4674276"/>
          </a:xfrm>
          <a:prstGeom prst="roundRect">
            <a:avLst>
              <a:gd name="adj" fmla="val 13778"/>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2" name="Chart 71">
            <a:extLst>
              <a:ext uri="{FF2B5EF4-FFF2-40B4-BE49-F238E27FC236}">
                <a16:creationId xmlns:a16="http://schemas.microsoft.com/office/drawing/2014/main" id="{9B9A29A6-43F2-495D-AE8D-F3549C595A18}"/>
              </a:ext>
            </a:extLst>
          </xdr:cNvPr>
          <xdr:cNvGraphicFramePr>
            <a:graphicFrameLocks/>
          </xdr:cNvGraphicFramePr>
        </xdr:nvGraphicFramePr>
        <xdr:xfrm>
          <a:off x="3632548" y="7208220"/>
          <a:ext cx="4833896" cy="407497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586153</xdr:colOff>
      <xdr:row>0</xdr:row>
      <xdr:rowOff>175847</xdr:rowOff>
    </xdr:from>
    <xdr:to>
      <xdr:col>18</xdr:col>
      <xdr:colOff>537307</xdr:colOff>
      <xdr:row>4</xdr:row>
      <xdr:rowOff>156307</xdr:rowOff>
    </xdr:to>
    <xdr:sp macro="" textlink="">
      <xdr:nvSpPr>
        <xdr:cNvPr id="73" name="TextBox 72">
          <a:extLst>
            <a:ext uri="{FF2B5EF4-FFF2-40B4-BE49-F238E27FC236}">
              <a16:creationId xmlns:a16="http://schemas.microsoft.com/office/drawing/2014/main" id="{072013BB-DFB3-4B6C-7E9E-E58DB0A61594}"/>
            </a:ext>
          </a:extLst>
        </xdr:cNvPr>
        <xdr:cNvSpPr txBox="1"/>
      </xdr:nvSpPr>
      <xdr:spPr>
        <a:xfrm>
          <a:off x="3614615" y="175847"/>
          <a:ext cx="7825154" cy="722922"/>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l"/>
          <a:r>
            <a:rPr lang="en-IN" sz="2400" b="1" cap="none" spc="0">
              <a:ln/>
              <a:solidFill>
                <a:schemeClr val="tx1">
                  <a:lumMod val="95000"/>
                  <a:lumOff val="5000"/>
                </a:schemeClr>
              </a:solidFill>
              <a:effectLst/>
            </a:rPr>
            <a:t>                                         Sales</a:t>
          </a:r>
          <a:r>
            <a:rPr lang="en-IN" sz="2400" b="1" cap="none" spc="0" baseline="0">
              <a:ln/>
              <a:solidFill>
                <a:schemeClr val="tx1">
                  <a:lumMod val="95000"/>
                  <a:lumOff val="5000"/>
                </a:schemeClr>
              </a:solidFill>
              <a:effectLst/>
            </a:rPr>
            <a:t> Report  Dasboard -2025</a:t>
          </a:r>
          <a:endParaRPr lang="en-IN" sz="2400" b="1" cap="none" spc="0">
            <a:ln/>
            <a:solidFill>
              <a:schemeClr val="tx1">
                <a:lumMod val="95000"/>
                <a:lumOff val="5000"/>
              </a:schemeClr>
            </a:solidFill>
            <a:effectLst/>
          </a:endParaRPr>
        </a:p>
      </xdr:txBody>
    </xdr:sp>
    <xdr:clientData/>
  </xdr:twoCellAnchor>
  <xdr:twoCellAnchor editAs="oneCell">
    <xdr:from>
      <xdr:col>8</xdr:col>
      <xdr:colOff>97691</xdr:colOff>
      <xdr:row>0</xdr:row>
      <xdr:rowOff>146539</xdr:rowOff>
    </xdr:from>
    <xdr:to>
      <xdr:col>9</xdr:col>
      <xdr:colOff>406398</xdr:colOff>
      <xdr:row>5</xdr:row>
      <xdr:rowOff>0</xdr:rowOff>
    </xdr:to>
    <xdr:pic>
      <xdr:nvPicPr>
        <xdr:cNvPr id="75" name="Graphic 74" descr="City with solid fill">
          <a:extLst>
            <a:ext uri="{FF2B5EF4-FFF2-40B4-BE49-F238E27FC236}">
              <a16:creationId xmlns:a16="http://schemas.microsoft.com/office/drawing/2014/main" id="{7076A01A-384F-F1B0-DFCA-7647591060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43229" y="146539"/>
          <a:ext cx="914400" cy="781538"/>
        </a:xfrm>
        <a:prstGeom prst="rect">
          <a:avLst/>
        </a:prstGeom>
      </xdr:spPr>
    </xdr:pic>
    <xdr:clientData/>
  </xdr:twoCellAnchor>
  <xdr:twoCellAnchor editAs="oneCell">
    <xdr:from>
      <xdr:col>11</xdr:col>
      <xdr:colOff>87924</xdr:colOff>
      <xdr:row>7</xdr:row>
      <xdr:rowOff>175846</xdr:rowOff>
    </xdr:from>
    <xdr:to>
      <xdr:col>12</xdr:col>
      <xdr:colOff>396631</xdr:colOff>
      <xdr:row>13</xdr:row>
      <xdr:rowOff>9769</xdr:rowOff>
    </xdr:to>
    <xdr:pic>
      <xdr:nvPicPr>
        <xdr:cNvPr id="77" name="Graphic 76" descr="Bar graph with upward trend with solid fill">
          <a:extLst>
            <a:ext uri="{FF2B5EF4-FFF2-40B4-BE49-F238E27FC236}">
              <a16:creationId xmlns:a16="http://schemas.microsoft.com/office/drawing/2014/main" id="{72B84C93-16EA-39FF-FA66-B3CF74B906D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50539" y="1475154"/>
          <a:ext cx="914400" cy="914400"/>
        </a:xfrm>
        <a:prstGeom prst="rect">
          <a:avLst/>
        </a:prstGeom>
      </xdr:spPr>
    </xdr:pic>
    <xdr:clientData/>
  </xdr:twoCellAnchor>
  <xdr:twoCellAnchor editAs="oneCell">
    <xdr:from>
      <xdr:col>0</xdr:col>
      <xdr:colOff>205154</xdr:colOff>
      <xdr:row>7</xdr:row>
      <xdr:rowOff>126999</xdr:rowOff>
    </xdr:from>
    <xdr:to>
      <xdr:col>1</xdr:col>
      <xdr:colOff>513862</xdr:colOff>
      <xdr:row>12</xdr:row>
      <xdr:rowOff>113322</xdr:rowOff>
    </xdr:to>
    <xdr:pic>
      <xdr:nvPicPr>
        <xdr:cNvPr id="83" name="Graphic 82" descr="Money with solid fill">
          <a:extLst>
            <a:ext uri="{FF2B5EF4-FFF2-40B4-BE49-F238E27FC236}">
              <a16:creationId xmlns:a16="http://schemas.microsoft.com/office/drawing/2014/main" id="{4D932B84-AE0A-3D76-9BFB-89937EFD1F8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154" y="1426307"/>
          <a:ext cx="914400" cy="914400"/>
        </a:xfrm>
        <a:prstGeom prst="rect">
          <a:avLst/>
        </a:prstGeom>
      </xdr:spPr>
    </xdr:pic>
    <xdr:clientData/>
  </xdr:twoCellAnchor>
  <xdr:twoCellAnchor editAs="oneCell">
    <xdr:from>
      <xdr:col>5</xdr:col>
      <xdr:colOff>517769</xdr:colOff>
      <xdr:row>7</xdr:row>
      <xdr:rowOff>156308</xdr:rowOff>
    </xdr:from>
    <xdr:to>
      <xdr:col>7</xdr:col>
      <xdr:colOff>220785</xdr:colOff>
      <xdr:row>12</xdr:row>
      <xdr:rowOff>142631</xdr:rowOff>
    </xdr:to>
    <xdr:pic>
      <xdr:nvPicPr>
        <xdr:cNvPr id="85" name="Graphic 84" descr="Shopping cart with solid fill">
          <a:extLst>
            <a:ext uri="{FF2B5EF4-FFF2-40B4-BE49-F238E27FC236}">
              <a16:creationId xmlns:a16="http://schemas.microsoft.com/office/drawing/2014/main" id="{9E2CE875-359E-CD5F-1F58-9485F08D1F8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46231" y="1455616"/>
          <a:ext cx="914400" cy="914400"/>
        </a:xfrm>
        <a:prstGeom prst="rect">
          <a:avLst/>
        </a:prstGeom>
      </xdr:spPr>
    </xdr:pic>
    <xdr:clientData/>
  </xdr:twoCellAnchor>
  <xdr:twoCellAnchor editAs="oneCell">
    <xdr:from>
      <xdr:col>16</xdr:col>
      <xdr:colOff>68385</xdr:colOff>
      <xdr:row>7</xdr:row>
      <xdr:rowOff>175845</xdr:rowOff>
    </xdr:from>
    <xdr:to>
      <xdr:col>17</xdr:col>
      <xdr:colOff>377093</xdr:colOff>
      <xdr:row>13</xdr:row>
      <xdr:rowOff>9768</xdr:rowOff>
    </xdr:to>
    <xdr:pic>
      <xdr:nvPicPr>
        <xdr:cNvPr id="87" name="Graphic 86" descr="Bar chart with solid fill">
          <a:extLst>
            <a:ext uri="{FF2B5EF4-FFF2-40B4-BE49-F238E27FC236}">
              <a16:creationId xmlns:a16="http://schemas.microsoft.com/office/drawing/2014/main" id="{85019D7D-192A-279C-EEFC-E6BCCC0F32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759462" y="1475153"/>
          <a:ext cx="914400" cy="914400"/>
        </a:xfrm>
        <a:prstGeom prst="rect">
          <a:avLst/>
        </a:prstGeom>
      </xdr:spPr>
    </xdr:pic>
    <xdr:clientData/>
  </xdr:twoCellAnchor>
  <xdr:twoCellAnchor>
    <xdr:from>
      <xdr:col>18</xdr:col>
      <xdr:colOff>208766</xdr:colOff>
      <xdr:row>37</xdr:row>
      <xdr:rowOff>125261</xdr:rowOff>
    </xdr:from>
    <xdr:to>
      <xdr:col>22</xdr:col>
      <xdr:colOff>52191</xdr:colOff>
      <xdr:row>38</xdr:row>
      <xdr:rowOff>177452</xdr:rowOff>
    </xdr:to>
    <xdr:sp macro="" textlink="">
      <xdr:nvSpPr>
        <xdr:cNvPr id="90" name="TextBox 89">
          <a:extLst>
            <a:ext uri="{FF2B5EF4-FFF2-40B4-BE49-F238E27FC236}">
              <a16:creationId xmlns:a16="http://schemas.microsoft.com/office/drawing/2014/main" id="{E5471337-272B-87E7-4E70-8F316ACF78B8}"/>
            </a:ext>
          </a:extLst>
        </xdr:cNvPr>
        <xdr:cNvSpPr txBox="1"/>
      </xdr:nvSpPr>
      <xdr:spPr>
        <a:xfrm>
          <a:off x="11106410" y="7077206"/>
          <a:ext cx="2265123" cy="24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cap="all" baseline="0">
              <a:solidFill>
                <a:schemeClr val="dk1"/>
              </a:solidFill>
              <a:effectLst/>
              <a:latin typeface="+mn-lt"/>
              <a:ea typeface="+mn-ea"/>
              <a:cs typeface="+mn-cs"/>
            </a:rPr>
            <a:t>units sold by  products</a:t>
          </a:r>
          <a:endParaRPr lang="en-IN" sz="1400">
            <a:effectLst/>
          </a:endParaRP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144780</xdr:colOff>
      <xdr:row>10</xdr:row>
      <xdr:rowOff>160020</xdr:rowOff>
    </xdr:from>
    <xdr:to>
      <xdr:col>6</xdr:col>
      <xdr:colOff>754380</xdr:colOff>
      <xdr:row>24</xdr:row>
      <xdr:rowOff>180975</xdr:rowOff>
    </xdr:to>
    <mc:AlternateContent xmlns:mc="http://schemas.openxmlformats.org/markup-compatibility/2006">
      <mc:Choice xmlns:a14="http://schemas.microsoft.com/office/drawing/2010/main" Requires="a14">
        <xdr:graphicFrame macro="">
          <xdr:nvGraphicFramePr>
            <xdr:cNvPr id="2" name="Date">
              <a:extLst>
                <a:ext uri="{FF2B5EF4-FFF2-40B4-BE49-F238E27FC236}">
                  <a16:creationId xmlns:a16="http://schemas.microsoft.com/office/drawing/2014/main" id="{4B8AF4B1-4DA5-1280-F5AE-8F99143CCFF1}"/>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3543300" y="1988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335280</xdr:colOff>
      <xdr:row>43</xdr:row>
      <xdr:rowOff>175260</xdr:rowOff>
    </xdr:from>
    <xdr:to>
      <xdr:col>8</xdr:col>
      <xdr:colOff>457200</xdr:colOff>
      <xdr:row>58</xdr:row>
      <xdr:rowOff>13335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FEC01244-2CCB-A52A-8A50-1F0E381E281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930140" y="80391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350520</xdr:colOff>
      <xdr:row>7</xdr:row>
      <xdr:rowOff>163830</xdr:rowOff>
    </xdr:from>
    <xdr:to>
      <xdr:col>12</xdr:col>
      <xdr:colOff>83820</xdr:colOff>
      <xdr:row>22</xdr:row>
      <xdr:rowOff>163830</xdr:rowOff>
    </xdr:to>
    <xdr:graphicFrame macro="">
      <xdr:nvGraphicFramePr>
        <xdr:cNvPr id="10" name="Chart 9">
          <a:extLst>
            <a:ext uri="{FF2B5EF4-FFF2-40B4-BE49-F238E27FC236}">
              <a16:creationId xmlns:a16="http://schemas.microsoft.com/office/drawing/2014/main" id="{DA881F25-6666-71F7-4F50-4CD499FF4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617220</xdr:colOff>
      <xdr:row>27</xdr:row>
      <xdr:rowOff>110490</xdr:rowOff>
    </xdr:from>
    <xdr:to>
      <xdr:col>8</xdr:col>
      <xdr:colOff>609600</xdr:colOff>
      <xdr:row>42</xdr:row>
      <xdr:rowOff>110490</xdr:rowOff>
    </xdr:to>
    <xdr:graphicFrame macro="">
      <xdr:nvGraphicFramePr>
        <xdr:cNvPr id="16" name="Chart 15">
          <a:extLst>
            <a:ext uri="{FF2B5EF4-FFF2-40B4-BE49-F238E27FC236}">
              <a16:creationId xmlns:a16="http://schemas.microsoft.com/office/drawing/2014/main" id="{47DD6FEB-1FF2-F10E-3C4C-CD6917204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662940</xdr:colOff>
      <xdr:row>44</xdr:row>
      <xdr:rowOff>129540</xdr:rowOff>
    </xdr:from>
    <xdr:to>
      <xdr:col>10</xdr:col>
      <xdr:colOff>320040</xdr:colOff>
      <xdr:row>58</xdr:row>
      <xdr:rowOff>150495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630E7EE6-D3BC-7B41-8A84-77F0BCAF55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64680" y="8176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48847</xdr:colOff>
      <xdr:row>0</xdr:row>
      <xdr:rowOff>40249</xdr:rowOff>
    </xdr:from>
    <xdr:to>
      <xdr:col>24</xdr:col>
      <xdr:colOff>508000</xdr:colOff>
      <xdr:row>6</xdr:row>
      <xdr:rowOff>29308</xdr:rowOff>
    </xdr:to>
    <xdr:sp macro="" textlink="">
      <xdr:nvSpPr>
        <xdr:cNvPr id="2" name="Rectangle: Rounded Corners 1">
          <a:extLst>
            <a:ext uri="{FF2B5EF4-FFF2-40B4-BE49-F238E27FC236}">
              <a16:creationId xmlns:a16="http://schemas.microsoft.com/office/drawing/2014/main" id="{F2355FE9-6106-4A7B-9D5D-627B0EFC28DD}"/>
            </a:ext>
          </a:extLst>
        </xdr:cNvPr>
        <xdr:cNvSpPr/>
      </xdr:nvSpPr>
      <xdr:spPr>
        <a:xfrm>
          <a:off x="48847" y="40249"/>
          <a:ext cx="15089553" cy="1086339"/>
        </a:xfrm>
        <a:prstGeom prst="roundRect">
          <a:avLst>
            <a:gd name="adj" fmla="val 24105"/>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IN" sz="1200" b="1" cap="none" spc="0">
            <a:ln w="12700" cmpd="sng">
              <a:solidFill>
                <a:schemeClr val="accent4"/>
              </a:solidFill>
              <a:prstDash val="solid"/>
            </a:ln>
            <a:solidFill>
              <a:schemeClr val="tx2">
                <a:lumMod val="75000"/>
              </a:schemeClr>
            </a:solidFill>
            <a:effectLst/>
            <a:latin typeface="+mn-lt"/>
            <a:ea typeface="+mn-ea"/>
            <a:cs typeface="+mn-cs"/>
          </a:endParaRPr>
        </a:p>
      </xdr:txBody>
    </xdr:sp>
    <xdr:clientData/>
  </xdr:twoCellAnchor>
  <xdr:twoCellAnchor>
    <xdr:from>
      <xdr:col>0</xdr:col>
      <xdr:colOff>118247</xdr:colOff>
      <xdr:row>7</xdr:row>
      <xdr:rowOff>1366</xdr:rowOff>
    </xdr:from>
    <xdr:to>
      <xdr:col>5</xdr:col>
      <xdr:colOff>166077</xdr:colOff>
      <xdr:row>13</xdr:row>
      <xdr:rowOff>146537</xdr:rowOff>
    </xdr:to>
    <xdr:grpSp>
      <xdr:nvGrpSpPr>
        <xdr:cNvPr id="3" name="Group 2">
          <a:extLst>
            <a:ext uri="{FF2B5EF4-FFF2-40B4-BE49-F238E27FC236}">
              <a16:creationId xmlns:a16="http://schemas.microsoft.com/office/drawing/2014/main" id="{E2BC4621-CF4F-4AA8-B930-FF3D80F43004}"/>
            </a:ext>
          </a:extLst>
        </xdr:cNvPr>
        <xdr:cNvGrpSpPr/>
      </xdr:nvGrpSpPr>
      <xdr:grpSpPr>
        <a:xfrm>
          <a:off x="118247" y="1262130"/>
          <a:ext cx="3095830" cy="1225825"/>
          <a:chOff x="1017015" y="1339752"/>
          <a:chExt cx="2402216" cy="1032022"/>
        </a:xfrm>
      </xdr:grpSpPr>
      <xdr:sp macro="" textlink="">
        <xdr:nvSpPr>
          <xdr:cNvPr id="4" name="Rectangle: Rounded Corners 3">
            <a:extLst>
              <a:ext uri="{FF2B5EF4-FFF2-40B4-BE49-F238E27FC236}">
                <a16:creationId xmlns:a16="http://schemas.microsoft.com/office/drawing/2014/main" id="{E0424972-08D8-57D0-8208-525EEBEF65C4}"/>
              </a:ext>
            </a:extLst>
          </xdr:cNvPr>
          <xdr:cNvSpPr/>
        </xdr:nvSpPr>
        <xdr:spPr>
          <a:xfrm>
            <a:off x="1094156" y="1339752"/>
            <a:ext cx="2325075"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cap="none" spc="0">
              <a:ln w="12700" cmpd="sng">
                <a:solidFill>
                  <a:schemeClr val="accent4"/>
                </a:solidFill>
                <a:prstDash val="solid"/>
              </a:ln>
              <a:solidFill>
                <a:schemeClr val="tx2">
                  <a:lumMod val="75000"/>
                </a:schemeClr>
              </a:solidFill>
              <a:effectLst/>
            </a:endParaRPr>
          </a:p>
        </xdr:txBody>
      </xdr:sp>
      <xdr:grpSp>
        <xdr:nvGrpSpPr>
          <xdr:cNvPr id="5" name="Group 4">
            <a:extLst>
              <a:ext uri="{FF2B5EF4-FFF2-40B4-BE49-F238E27FC236}">
                <a16:creationId xmlns:a16="http://schemas.microsoft.com/office/drawing/2014/main" id="{7B759A43-1BB3-4D88-4627-BF50E84B2CF2}"/>
              </a:ext>
            </a:extLst>
          </xdr:cNvPr>
          <xdr:cNvGrpSpPr/>
        </xdr:nvGrpSpPr>
        <xdr:grpSpPr>
          <a:xfrm>
            <a:off x="1017015" y="1341902"/>
            <a:ext cx="2272530" cy="1029872"/>
            <a:chOff x="0" y="1005840"/>
            <a:chExt cx="2269651" cy="1013460"/>
          </a:xfrm>
        </xdr:grpSpPr>
        <xdr:sp macro="" textlink="">
          <xdr:nvSpPr>
            <xdr:cNvPr id="6" name="Rectangle: Rounded Corners 5">
              <a:extLst>
                <a:ext uri="{FF2B5EF4-FFF2-40B4-BE49-F238E27FC236}">
                  <a16:creationId xmlns:a16="http://schemas.microsoft.com/office/drawing/2014/main" id="{2E796709-E126-66B2-D108-60B0FF17F968}"/>
                </a:ext>
              </a:extLst>
            </xdr:cNvPr>
            <xdr:cNvSpPr/>
          </xdr:nvSpPr>
          <xdr:spPr>
            <a:xfrm rot="5400000">
              <a:off x="-85725" y="1091565"/>
              <a:ext cx="1013460" cy="84201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b="1" cap="none" spc="0">
                <a:ln w="12700" cmpd="sng">
                  <a:solidFill>
                    <a:schemeClr val="accent4"/>
                  </a:solidFill>
                  <a:prstDash val="solid"/>
                </a:ln>
                <a:solidFill>
                  <a:schemeClr val="tx2">
                    <a:lumMod val="75000"/>
                  </a:schemeClr>
                </a:solidFill>
                <a:effectLst/>
              </a:endParaRPr>
            </a:p>
          </xdr:txBody>
        </xdr:sp>
        <xdr:sp macro="" textlink="">
          <xdr:nvSpPr>
            <xdr:cNvPr id="7" name="TextBox 6">
              <a:extLst>
                <a:ext uri="{FF2B5EF4-FFF2-40B4-BE49-F238E27FC236}">
                  <a16:creationId xmlns:a16="http://schemas.microsoft.com/office/drawing/2014/main" id="{2538ED2C-9DEB-8935-C67D-B9ECF6E4AD89}"/>
                </a:ext>
              </a:extLst>
            </xdr:cNvPr>
            <xdr:cNvSpPr txBox="1"/>
          </xdr:nvSpPr>
          <xdr:spPr>
            <a:xfrm>
              <a:off x="1005432" y="1016106"/>
              <a:ext cx="1052492"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Sales</a:t>
              </a:r>
            </a:p>
            <a:p>
              <a:endParaRPr lang="en-IN" sz="1600" b="1" cap="none" spc="0">
                <a:ln w="12700" cmpd="sng">
                  <a:solidFill>
                    <a:schemeClr val="accent4"/>
                  </a:solidFill>
                  <a:prstDash val="solid"/>
                </a:ln>
                <a:solidFill>
                  <a:schemeClr val="tx2">
                    <a:lumMod val="75000"/>
                  </a:schemeClr>
                </a:solidFill>
                <a:effectLst/>
              </a:endParaRPr>
            </a:p>
          </xdr:txBody>
        </xdr:sp>
        <xdr:sp macro="" textlink="Sheet1!$K$4">
          <xdr:nvSpPr>
            <xdr:cNvPr id="8" name="TextBox 7">
              <a:extLst>
                <a:ext uri="{FF2B5EF4-FFF2-40B4-BE49-F238E27FC236}">
                  <a16:creationId xmlns:a16="http://schemas.microsoft.com/office/drawing/2014/main" id="{5472AA8F-02C8-F7C1-CAB4-8617177F2C9C}"/>
                </a:ext>
              </a:extLst>
            </xdr:cNvPr>
            <xdr:cNvSpPr txBox="1"/>
          </xdr:nvSpPr>
          <xdr:spPr>
            <a:xfrm>
              <a:off x="990600" y="1478280"/>
              <a:ext cx="1279051" cy="438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1400" b="0" i="0" u="none" strike="noStrike" cap="none" spc="0">
                  <a:ln w="0"/>
                  <a:solidFill>
                    <a:schemeClr val="accent1"/>
                  </a:solidFill>
                  <a:effectLst>
                    <a:outerShdw blurRad="50800" dist="38100" dir="2700000" algn="tl" rotWithShape="0">
                      <a:prstClr val="black">
                        <a:alpha val="40000"/>
                      </a:prstClr>
                    </a:outerShdw>
                  </a:effectLst>
                  <a:latin typeface="Aptos Narrow"/>
                </a:rPr>
                <a:pPr/>
                <a:t> </a:t>
              </a:fld>
              <a:r>
                <a:rPr lang="en-IN" sz="14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20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1,29,44,500</a:t>
              </a:r>
              <a:r>
                <a:rPr lang="en-IN" sz="14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endParaRPr lang="en-US" sz="1400" b="0" cap="none" spc="0">
                <a:ln w="0"/>
                <a:solidFill>
                  <a:schemeClr val="accent1"/>
                </a:solidFill>
                <a:effectLst>
                  <a:outerShdw blurRad="50800" dist="38100" dir="2700000" algn="tl" rotWithShape="0">
                    <a:prstClr val="black">
                      <a:alpha val="40000"/>
                    </a:prstClr>
                  </a:outerShdw>
                </a:effectLst>
              </a:endParaRPr>
            </a:p>
          </xdr:txBody>
        </xdr:sp>
      </xdr:grpSp>
    </xdr:grpSp>
    <xdr:clientData/>
  </xdr:twoCellAnchor>
  <xdr:twoCellAnchor>
    <xdr:from>
      <xdr:col>5</xdr:col>
      <xdr:colOff>390769</xdr:colOff>
      <xdr:row>6</xdr:row>
      <xdr:rowOff>157798</xdr:rowOff>
    </xdr:from>
    <xdr:to>
      <xdr:col>10</xdr:col>
      <xdr:colOff>407096</xdr:colOff>
      <xdr:row>13</xdr:row>
      <xdr:rowOff>126999</xdr:rowOff>
    </xdr:to>
    <xdr:grpSp>
      <xdr:nvGrpSpPr>
        <xdr:cNvPr id="9" name="Group 8">
          <a:extLst>
            <a:ext uri="{FF2B5EF4-FFF2-40B4-BE49-F238E27FC236}">
              <a16:creationId xmlns:a16="http://schemas.microsoft.com/office/drawing/2014/main" id="{142D3D3E-B787-463C-AB43-6865F4498560}"/>
            </a:ext>
          </a:extLst>
        </xdr:cNvPr>
        <xdr:cNvGrpSpPr/>
      </xdr:nvGrpSpPr>
      <xdr:grpSpPr>
        <a:xfrm>
          <a:off x="3438769" y="1238453"/>
          <a:ext cx="3064327" cy="1229964"/>
          <a:chOff x="2387548" y="1027260"/>
          <a:chExt cx="2265902" cy="1031778"/>
        </a:xfrm>
      </xdr:grpSpPr>
      <xdr:grpSp>
        <xdr:nvGrpSpPr>
          <xdr:cNvPr id="10" name="Group 9">
            <a:extLst>
              <a:ext uri="{FF2B5EF4-FFF2-40B4-BE49-F238E27FC236}">
                <a16:creationId xmlns:a16="http://schemas.microsoft.com/office/drawing/2014/main" id="{4B31AE80-224C-7319-0844-637AC9BE2B87}"/>
              </a:ext>
            </a:extLst>
          </xdr:cNvPr>
          <xdr:cNvGrpSpPr/>
        </xdr:nvGrpSpPr>
        <xdr:grpSpPr>
          <a:xfrm>
            <a:off x="2387548" y="1027260"/>
            <a:ext cx="2248539" cy="1031778"/>
            <a:chOff x="2399210" y="1013460"/>
            <a:chExt cx="2264230" cy="1015456"/>
          </a:xfrm>
        </xdr:grpSpPr>
        <xdr:sp macro="" textlink="">
          <xdr:nvSpPr>
            <xdr:cNvPr id="13" name="Rectangle: Rounded Corners 12">
              <a:extLst>
                <a:ext uri="{FF2B5EF4-FFF2-40B4-BE49-F238E27FC236}">
                  <a16:creationId xmlns:a16="http://schemas.microsoft.com/office/drawing/2014/main" id="{F52D7B14-E5A2-C2FF-2859-B436D7E0157B}"/>
                </a:ext>
              </a:extLst>
            </xdr:cNvPr>
            <xdr:cNvSpPr/>
          </xdr:nvSpPr>
          <xdr:spPr>
            <a:xfrm>
              <a:off x="2430780" y="1013460"/>
              <a:ext cx="2232660" cy="1013460"/>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55820755-D798-A20C-A3B9-A2C9F343BE41}"/>
                </a:ext>
              </a:extLst>
            </xdr:cNvPr>
            <xdr:cNvSpPr/>
          </xdr:nvSpPr>
          <xdr:spPr>
            <a:xfrm rot="5400000">
              <a:off x="2313485" y="1101181"/>
              <a:ext cx="1013460" cy="84201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11" name="TextBox 10">
            <a:extLst>
              <a:ext uri="{FF2B5EF4-FFF2-40B4-BE49-F238E27FC236}">
                <a16:creationId xmlns:a16="http://schemas.microsoft.com/office/drawing/2014/main" id="{681577C5-C8FC-9299-66BE-5A2B9175F083}"/>
              </a:ext>
            </a:extLst>
          </xdr:cNvPr>
          <xdr:cNvSpPr txBox="1"/>
        </xdr:nvSpPr>
        <xdr:spPr>
          <a:xfrm>
            <a:off x="3340060" y="1113253"/>
            <a:ext cx="1313390"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Total</a:t>
            </a:r>
            <a:r>
              <a:rPr lang="en-IN" sz="2000" b="0" cap="none" spc="0" baseline="0">
                <a:ln w="0"/>
                <a:solidFill>
                  <a:schemeClr val="tx1"/>
                </a:solidFill>
                <a:effectLst>
                  <a:outerShdw blurRad="38100" dist="19050" dir="2700000" algn="tl" rotWithShape="0">
                    <a:schemeClr val="dk1">
                      <a:alpha val="40000"/>
                    </a:schemeClr>
                  </a:outerShdw>
                </a:effectLst>
              </a:rPr>
              <a:t> Products</a:t>
            </a:r>
          </a:p>
          <a:p>
            <a:endParaRPr lang="en-IN" sz="1800" b="0" cap="none" spc="0">
              <a:ln w="0"/>
              <a:solidFill>
                <a:schemeClr val="tx1"/>
              </a:solidFill>
              <a:effectLst>
                <a:outerShdw blurRad="38100" dist="19050" dir="2700000" algn="tl" rotWithShape="0">
                  <a:schemeClr val="dk1">
                    <a:alpha val="40000"/>
                  </a:schemeClr>
                </a:outerShdw>
              </a:effectLst>
            </a:endParaRPr>
          </a:p>
        </xdr:txBody>
      </xdr:sp>
      <xdr:sp macro="" textlink="Sheet1!$K$4">
        <xdr:nvSpPr>
          <xdr:cNvPr id="12" name="TextBox 11">
            <a:extLst>
              <a:ext uri="{FF2B5EF4-FFF2-40B4-BE49-F238E27FC236}">
                <a16:creationId xmlns:a16="http://schemas.microsoft.com/office/drawing/2014/main" id="{2D9691F8-81A6-9EDB-C2CE-92F1423659B1}"/>
              </a:ext>
            </a:extLst>
          </xdr:cNvPr>
          <xdr:cNvSpPr txBox="1"/>
        </xdr:nvSpPr>
        <xdr:spPr>
          <a:xfrm>
            <a:off x="3362309" y="1507165"/>
            <a:ext cx="1127564" cy="254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2000" b="0" i="0" u="none" strike="noStrike" cap="none" spc="0">
                <a:ln w="0"/>
                <a:solidFill>
                  <a:schemeClr val="accent1"/>
                </a:solidFill>
                <a:effectLst>
                  <a:outerShdw blurRad="50800" dist="38100" dir="2700000" algn="tl" rotWithShape="0">
                    <a:prstClr val="black">
                      <a:alpha val="40000"/>
                    </a:prstClr>
                  </a:outerShdw>
                </a:effectLst>
                <a:latin typeface="Aptos Narrow"/>
              </a:rPr>
              <a:pPr/>
              <a:t> </a:t>
            </a:fld>
            <a:r>
              <a:rPr lang="en-IN" sz="20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4705</a:t>
            </a:r>
            <a:r>
              <a:rPr lang="en-IN" sz="2000" b="0" cap="none" spc="0">
                <a:ln w="0"/>
                <a:solidFill>
                  <a:schemeClr val="accent1"/>
                </a:solidFill>
                <a:effectLst>
                  <a:outerShdw blurRad="50800" dist="38100" dir="2700000" algn="tl" rotWithShape="0">
                    <a:prstClr val="black">
                      <a:alpha val="40000"/>
                    </a:prstClr>
                  </a:outerShdw>
                </a:effectLst>
              </a:rPr>
              <a:t> </a:t>
            </a:r>
            <a:r>
              <a:rPr lang="en-IN" sz="2000" b="0" i="0" u="none" strike="noStrike" cap="none" spc="0" baseline="0">
                <a:ln w="0"/>
                <a:solidFill>
                  <a:schemeClr val="accent1"/>
                </a:solidFill>
                <a:effectLst>
                  <a:outerShdw blurRad="50800" dist="38100" dir="2700000" algn="tl" rotWithShape="0">
                    <a:prstClr val="black">
                      <a:alpha val="40000"/>
                    </a:prstClr>
                  </a:outerShdw>
                </a:effectLst>
                <a:latin typeface="+mn-lt"/>
                <a:ea typeface="+mn-ea"/>
                <a:cs typeface="+mn-cs"/>
              </a:rPr>
              <a:t>  </a:t>
            </a:r>
          </a:p>
          <a:p>
            <a:r>
              <a:rPr lang="en-IN" sz="20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endParaRPr lang="en-US" sz="2000" b="0" cap="none" spc="0">
              <a:ln w="0"/>
              <a:solidFill>
                <a:schemeClr val="accent1"/>
              </a:solidFill>
              <a:effectLst>
                <a:outerShdw blurRad="50800" dist="38100" dir="2700000" algn="tl" rotWithShape="0">
                  <a:prstClr val="black">
                    <a:alpha val="40000"/>
                  </a:prstClr>
                </a:outerShdw>
              </a:effectLst>
            </a:endParaRPr>
          </a:p>
        </xdr:txBody>
      </xdr:sp>
    </xdr:grpSp>
    <xdr:clientData/>
  </xdr:twoCellAnchor>
  <xdr:twoCellAnchor>
    <xdr:from>
      <xdr:col>16</xdr:col>
      <xdr:colOff>19538</xdr:colOff>
      <xdr:row>7</xdr:row>
      <xdr:rowOff>19538</xdr:rowOff>
    </xdr:from>
    <xdr:to>
      <xdr:col>20</xdr:col>
      <xdr:colOff>371230</xdr:colOff>
      <xdr:row>13</xdr:row>
      <xdr:rowOff>97692</xdr:rowOff>
    </xdr:to>
    <xdr:grpSp>
      <xdr:nvGrpSpPr>
        <xdr:cNvPr id="15" name="Group 14">
          <a:extLst>
            <a:ext uri="{FF2B5EF4-FFF2-40B4-BE49-F238E27FC236}">
              <a16:creationId xmlns:a16="http://schemas.microsoft.com/office/drawing/2014/main" id="{C30EF459-FC66-4D62-A100-2F42CC148B4F}"/>
            </a:ext>
          </a:extLst>
        </xdr:cNvPr>
        <xdr:cNvGrpSpPr/>
      </xdr:nvGrpSpPr>
      <xdr:grpSpPr>
        <a:xfrm>
          <a:off x="9773138" y="1280302"/>
          <a:ext cx="2790092" cy="1158808"/>
          <a:chOff x="4796106" y="1019517"/>
          <a:chExt cx="2369429" cy="1029872"/>
        </a:xfrm>
      </xdr:grpSpPr>
      <xdr:grpSp>
        <xdr:nvGrpSpPr>
          <xdr:cNvPr id="16" name="Group 15">
            <a:extLst>
              <a:ext uri="{FF2B5EF4-FFF2-40B4-BE49-F238E27FC236}">
                <a16:creationId xmlns:a16="http://schemas.microsoft.com/office/drawing/2014/main" id="{ACF5B0EA-84F9-FA53-9F03-FC8E769E0E62}"/>
              </a:ext>
            </a:extLst>
          </xdr:cNvPr>
          <xdr:cNvGrpSpPr/>
        </xdr:nvGrpSpPr>
        <xdr:grpSpPr>
          <a:xfrm>
            <a:off x="4796106" y="1019517"/>
            <a:ext cx="2369429" cy="1029872"/>
            <a:chOff x="4796106" y="1019517"/>
            <a:chExt cx="2369429" cy="1029872"/>
          </a:xfrm>
        </xdr:grpSpPr>
        <xdr:sp macro="" textlink="">
          <xdr:nvSpPr>
            <xdr:cNvPr id="19" name="Rectangle: Rounded Corners 18">
              <a:extLst>
                <a:ext uri="{FF2B5EF4-FFF2-40B4-BE49-F238E27FC236}">
                  <a16:creationId xmlns:a16="http://schemas.microsoft.com/office/drawing/2014/main" id="{440E1488-4CEA-92F3-354A-FCEA7F4B7188}"/>
                </a:ext>
              </a:extLst>
            </xdr:cNvPr>
            <xdr:cNvSpPr/>
          </xdr:nvSpPr>
          <xdr:spPr>
            <a:xfrm>
              <a:off x="4841826" y="1019517"/>
              <a:ext cx="2323709"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17A7F55-6161-2650-27AD-F560EAFA5A89}"/>
                </a:ext>
              </a:extLst>
            </xdr:cNvPr>
            <xdr:cNvSpPr/>
          </xdr:nvSpPr>
          <xdr:spPr>
            <a:xfrm rot="5400000">
              <a:off x="4698268" y="1117355"/>
              <a:ext cx="1029872" cy="834195"/>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17" name="TextBox 16">
            <a:extLst>
              <a:ext uri="{FF2B5EF4-FFF2-40B4-BE49-F238E27FC236}">
                <a16:creationId xmlns:a16="http://schemas.microsoft.com/office/drawing/2014/main" id="{A2F62677-C1BF-2125-ED0C-5062439CEC97}"/>
              </a:ext>
            </a:extLst>
          </xdr:cNvPr>
          <xdr:cNvSpPr txBox="1"/>
        </xdr:nvSpPr>
        <xdr:spPr>
          <a:xfrm>
            <a:off x="5635537" y="1088097"/>
            <a:ext cx="1480379"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Average</a:t>
            </a:r>
            <a:r>
              <a:rPr lang="en-IN" sz="2000" b="0" cap="none" spc="0" baseline="0">
                <a:ln w="0"/>
                <a:solidFill>
                  <a:schemeClr val="tx1"/>
                </a:solidFill>
                <a:effectLst>
                  <a:outerShdw blurRad="38100" dist="19050" dir="2700000" algn="tl" rotWithShape="0">
                    <a:schemeClr val="dk1">
                      <a:alpha val="40000"/>
                    </a:schemeClr>
                  </a:outerShdw>
                </a:effectLst>
              </a:rPr>
              <a:t> Sales</a:t>
            </a:r>
            <a:endParaRPr lang="en-IN" sz="2000" b="1" baseline="0">
              <a:solidFill>
                <a:schemeClr val="accent6">
                  <a:lumMod val="60000"/>
                  <a:lumOff val="40000"/>
                </a:schemeClr>
              </a:solidFill>
            </a:endParaRPr>
          </a:p>
          <a:p>
            <a:endParaRPr lang="en-IN" sz="1400" b="1">
              <a:solidFill>
                <a:schemeClr val="accent6">
                  <a:lumMod val="60000"/>
                  <a:lumOff val="40000"/>
                </a:schemeClr>
              </a:solidFill>
            </a:endParaRPr>
          </a:p>
        </xdr:txBody>
      </xdr:sp>
      <xdr:sp macro="" textlink="Sheet1!$K$4">
        <xdr:nvSpPr>
          <xdr:cNvPr id="18" name="TextBox 17">
            <a:extLst>
              <a:ext uri="{FF2B5EF4-FFF2-40B4-BE49-F238E27FC236}">
                <a16:creationId xmlns:a16="http://schemas.microsoft.com/office/drawing/2014/main" id="{1CCECD7D-9D2C-FBB6-501C-3782AEDFBA7A}"/>
              </a:ext>
            </a:extLst>
          </xdr:cNvPr>
          <xdr:cNvSpPr txBox="1"/>
        </xdr:nvSpPr>
        <xdr:spPr>
          <a:xfrm>
            <a:off x="5619666" y="1519157"/>
            <a:ext cx="1241864" cy="2569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06CB6-A6FB-445C-AC47-278D0AC4BB64}" type="TxLink">
              <a:rPr lang="en-US" sz="1800" b="0" i="0" u="none" strike="noStrike" cap="none" spc="0">
                <a:ln w="0"/>
                <a:solidFill>
                  <a:schemeClr val="accent1"/>
                </a:solidFill>
                <a:effectLst>
                  <a:outerShdw blurRad="38100" dist="25400" dir="5400000" algn="ctr" rotWithShape="0">
                    <a:srgbClr val="6E747A">
                      <a:alpha val="43000"/>
                    </a:srgbClr>
                  </a:outerShdw>
                </a:effectLst>
                <a:latin typeface="Aptos Narrow"/>
              </a:rPr>
              <a:pPr/>
              <a:t> </a:t>
            </a:fld>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       </a:t>
            </a:r>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2,58,890</a:t>
            </a:r>
            <a:r>
              <a:rPr lang="en-IN" sz="1800" b="0" i="0" u="none" strike="noStrike" cap="none" spc="0">
                <a:ln w="0"/>
                <a:solidFill>
                  <a:schemeClr val="accent1"/>
                </a:solidFill>
                <a:effectLst>
                  <a:outerShdw blurRad="38100" dist="25400" dir="5400000" algn="ctr" rotWithShape="0">
                    <a:srgbClr val="6E747A">
                      <a:alpha val="43000"/>
                    </a:srgbClr>
                  </a:outerShdw>
                </a:effectLst>
                <a:latin typeface="+mn-lt"/>
                <a:ea typeface="+mn-ea"/>
                <a:cs typeface="+mn-cs"/>
              </a:rPr>
              <a:t>  </a:t>
            </a:r>
            <a:endParaRPr lang="en-US" sz="1800" b="0" cap="none" spc="0">
              <a:ln w="0"/>
              <a:solidFill>
                <a:schemeClr val="accent1"/>
              </a:solidFill>
              <a:effectLst>
                <a:outerShdw blurRad="38100" dist="25400" dir="5400000" algn="ctr" rotWithShape="0">
                  <a:srgbClr val="6E747A">
                    <a:alpha val="43000"/>
                  </a:srgbClr>
                </a:outerShdw>
              </a:effectLst>
            </a:endParaRPr>
          </a:p>
        </xdr:txBody>
      </xdr:sp>
    </xdr:grpSp>
    <xdr:clientData/>
  </xdr:twoCellAnchor>
  <xdr:twoCellAnchor>
    <xdr:from>
      <xdr:col>11</xdr:col>
      <xdr:colOff>19537</xdr:colOff>
      <xdr:row>6</xdr:row>
      <xdr:rowOff>161974</xdr:rowOff>
    </xdr:from>
    <xdr:to>
      <xdr:col>15</xdr:col>
      <xdr:colOff>400538</xdr:colOff>
      <xdr:row>13</xdr:row>
      <xdr:rowOff>107462</xdr:rowOff>
    </xdr:to>
    <xdr:grpSp>
      <xdr:nvGrpSpPr>
        <xdr:cNvPr id="21" name="Group 20">
          <a:extLst>
            <a:ext uri="{FF2B5EF4-FFF2-40B4-BE49-F238E27FC236}">
              <a16:creationId xmlns:a16="http://schemas.microsoft.com/office/drawing/2014/main" id="{412BE0E6-5BC1-4865-8068-3663ADC1F3A9}"/>
            </a:ext>
          </a:extLst>
        </xdr:cNvPr>
        <xdr:cNvGrpSpPr/>
      </xdr:nvGrpSpPr>
      <xdr:grpSpPr>
        <a:xfrm>
          <a:off x="6725137" y="1242629"/>
          <a:ext cx="2819401" cy="1206251"/>
          <a:chOff x="7283547" y="1011897"/>
          <a:chExt cx="2281898" cy="1029873"/>
        </a:xfrm>
      </xdr:grpSpPr>
      <xdr:grpSp>
        <xdr:nvGrpSpPr>
          <xdr:cNvPr id="22" name="Group 21">
            <a:extLst>
              <a:ext uri="{FF2B5EF4-FFF2-40B4-BE49-F238E27FC236}">
                <a16:creationId xmlns:a16="http://schemas.microsoft.com/office/drawing/2014/main" id="{0AAE2663-16A1-36E2-0E81-D7413A931515}"/>
              </a:ext>
            </a:extLst>
          </xdr:cNvPr>
          <xdr:cNvGrpSpPr/>
        </xdr:nvGrpSpPr>
        <xdr:grpSpPr>
          <a:xfrm>
            <a:off x="7283547" y="1011897"/>
            <a:ext cx="2281898" cy="1029873"/>
            <a:chOff x="7283547" y="1011897"/>
            <a:chExt cx="2281898" cy="1029873"/>
          </a:xfrm>
        </xdr:grpSpPr>
        <xdr:sp macro="" textlink="">
          <xdr:nvSpPr>
            <xdr:cNvPr id="25" name="Rectangle: Rounded Corners 24">
              <a:extLst>
                <a:ext uri="{FF2B5EF4-FFF2-40B4-BE49-F238E27FC236}">
                  <a16:creationId xmlns:a16="http://schemas.microsoft.com/office/drawing/2014/main" id="{33939F7A-DD07-5B3E-DAEF-B9AB92570F02}"/>
                </a:ext>
              </a:extLst>
            </xdr:cNvPr>
            <xdr:cNvSpPr/>
          </xdr:nvSpPr>
          <xdr:spPr>
            <a:xfrm>
              <a:off x="7314250" y="1011897"/>
              <a:ext cx="2251195" cy="1029872"/>
            </a:xfrm>
            <a:prstGeom prst="roundRect">
              <a:avLst>
                <a:gd name="adj" fmla="val 19769"/>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9E8081B9-E550-120C-1400-AFFC6D76F7A6}"/>
                </a:ext>
              </a:extLst>
            </xdr:cNvPr>
            <xdr:cNvSpPr/>
          </xdr:nvSpPr>
          <xdr:spPr>
            <a:xfrm rot="5400000">
              <a:off x="7214886" y="1080559"/>
              <a:ext cx="1029872" cy="892550"/>
            </a:xfrm>
            <a:prstGeom prst="roundRect">
              <a:avLst>
                <a:gd name="adj" fmla="val 31397"/>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grpSp>
      <xdr:sp macro="" textlink="">
        <xdr:nvSpPr>
          <xdr:cNvPr id="23" name="TextBox 22">
            <a:extLst>
              <a:ext uri="{FF2B5EF4-FFF2-40B4-BE49-F238E27FC236}">
                <a16:creationId xmlns:a16="http://schemas.microsoft.com/office/drawing/2014/main" id="{6E375EBB-E2F6-8A28-9796-2092C2D0B220}"/>
              </a:ext>
            </a:extLst>
          </xdr:cNvPr>
          <xdr:cNvSpPr txBox="1"/>
        </xdr:nvSpPr>
        <xdr:spPr>
          <a:xfrm>
            <a:off x="8278984" y="1043648"/>
            <a:ext cx="1257806" cy="302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Total Profit</a:t>
            </a:r>
          </a:p>
          <a:p>
            <a:endParaRPr lang="en-IN" sz="2000" b="0" cap="none" spc="0">
              <a:ln w="0"/>
              <a:solidFill>
                <a:schemeClr val="tx1"/>
              </a:solidFill>
              <a:effectLst>
                <a:outerShdw blurRad="38100" dist="19050" dir="2700000" algn="tl" rotWithShape="0">
                  <a:schemeClr val="dk1">
                    <a:alpha val="40000"/>
                  </a:schemeClr>
                </a:outerShdw>
              </a:effectLst>
            </a:endParaRPr>
          </a:p>
        </xdr:txBody>
      </xdr:sp>
      <xdr:sp macro="" textlink="Sheet1!$K$4">
        <xdr:nvSpPr>
          <xdr:cNvPr id="24" name="TextBox 23">
            <a:extLst>
              <a:ext uri="{FF2B5EF4-FFF2-40B4-BE49-F238E27FC236}">
                <a16:creationId xmlns:a16="http://schemas.microsoft.com/office/drawing/2014/main" id="{66BBAD3C-0DBC-0E64-EB9A-3CF328AD5083}"/>
              </a:ext>
            </a:extLst>
          </xdr:cNvPr>
          <xdr:cNvSpPr txBox="1"/>
        </xdr:nvSpPr>
        <xdr:spPr>
          <a:xfrm>
            <a:off x="8151504" y="1500164"/>
            <a:ext cx="1269161" cy="240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1800" b="0" i="0" u="none" strike="noStrike" cap="none" spc="0" baseline="0">
                <a:ln w="0"/>
                <a:solidFill>
                  <a:schemeClr val="accent1"/>
                </a:solidFill>
                <a:effectLst>
                  <a:outerShdw blurRad="50800" dist="38100" dir="2700000" algn="tl" rotWithShape="0">
                    <a:prstClr val="black">
                      <a:alpha val="40000"/>
                    </a:prstClr>
                  </a:outerShdw>
                </a:effectLst>
                <a:latin typeface="+mn-lt"/>
                <a:ea typeface="+mn-ea"/>
                <a:cs typeface="+mn-cs"/>
              </a:rPr>
              <a:t> </a:t>
            </a:r>
            <a:r>
              <a:rPr lang="en-IN" sz="1800" b="0" i="0" u="none" strike="noStrike" cap="none" spc="0">
                <a:ln w="0"/>
                <a:solidFill>
                  <a:schemeClr val="accent1"/>
                </a:solidFill>
                <a:effectLst>
                  <a:outerShdw blurRad="50800" dist="38100" dir="2700000" algn="tl" rotWithShape="0">
                    <a:prstClr val="black">
                      <a:alpha val="40000"/>
                    </a:prstClr>
                  </a:outerShdw>
                </a:effectLst>
                <a:latin typeface="+mn-lt"/>
                <a:ea typeface="+mn-ea"/>
                <a:cs typeface="+mn-cs"/>
              </a:rPr>
              <a:t>   38,34,400  </a:t>
            </a:r>
            <a:endParaRPr lang="en-US" sz="1800" b="0" cap="none" spc="0">
              <a:ln w="0"/>
              <a:solidFill>
                <a:schemeClr val="accent1"/>
              </a:solidFill>
              <a:effectLst>
                <a:outerShdw blurRad="50800" dist="38100" dir="2700000" algn="tl" rotWithShape="0">
                  <a:prstClr val="black">
                    <a:alpha val="40000"/>
                  </a:prstClr>
                </a:outerShdw>
              </a:effectLst>
            </a:endParaRPr>
          </a:p>
        </xdr:txBody>
      </xdr:sp>
    </xdr:grpSp>
    <xdr:clientData/>
  </xdr:twoCellAnchor>
  <xdr:twoCellAnchor>
    <xdr:from>
      <xdr:col>16</xdr:col>
      <xdr:colOff>19538</xdr:colOff>
      <xdr:row>15</xdr:row>
      <xdr:rowOff>69554</xdr:rowOff>
    </xdr:from>
    <xdr:to>
      <xdr:col>25</xdr:col>
      <xdr:colOff>9768</xdr:colOff>
      <xdr:row>35</xdr:row>
      <xdr:rowOff>68385</xdr:rowOff>
    </xdr:to>
    <xdr:grpSp>
      <xdr:nvGrpSpPr>
        <xdr:cNvPr id="27" name="Group 26">
          <a:extLst>
            <a:ext uri="{FF2B5EF4-FFF2-40B4-BE49-F238E27FC236}">
              <a16:creationId xmlns:a16="http://schemas.microsoft.com/office/drawing/2014/main" id="{EB1A8A47-F370-46AC-9565-AE68632F7B3A}"/>
            </a:ext>
          </a:extLst>
        </xdr:cNvPr>
        <xdr:cNvGrpSpPr/>
      </xdr:nvGrpSpPr>
      <xdr:grpSpPr>
        <a:xfrm>
          <a:off x="9773138" y="2771190"/>
          <a:ext cx="5476630" cy="3601013"/>
          <a:chOff x="6476999" y="3449708"/>
          <a:chExt cx="3526693" cy="2656060"/>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0007EB51-B6D3-E4AD-3413-0738704217E9}"/>
              </a:ext>
            </a:extLst>
          </xdr:cNvPr>
          <xdr:cNvSpPr/>
        </xdr:nvSpPr>
        <xdr:spPr>
          <a:xfrm>
            <a:off x="6476999" y="3449708"/>
            <a:ext cx="3526693" cy="2656060"/>
          </a:xfrm>
          <a:prstGeom prst="roundRect">
            <a:avLst>
              <a:gd name="adj" fmla="val 13071"/>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p>
        </xdr:txBody>
      </xdr:sp>
      <xdr:graphicFrame macro="">
        <xdr:nvGraphicFramePr>
          <xdr:cNvPr id="29" name="Chart 28">
            <a:extLst>
              <a:ext uri="{FF2B5EF4-FFF2-40B4-BE49-F238E27FC236}">
                <a16:creationId xmlns:a16="http://schemas.microsoft.com/office/drawing/2014/main" id="{0D5918D2-B598-0D63-F1AC-256DA00E71A8}"/>
              </a:ext>
            </a:extLst>
          </xdr:cNvPr>
          <xdr:cNvGraphicFramePr>
            <a:graphicFrameLocks/>
          </xdr:cNvGraphicFramePr>
        </xdr:nvGraphicFramePr>
        <xdr:xfrm>
          <a:off x="6604942" y="3607896"/>
          <a:ext cx="3279761" cy="236337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224691</xdr:colOff>
      <xdr:row>14</xdr:row>
      <xdr:rowOff>68383</xdr:rowOff>
    </xdr:from>
    <xdr:to>
      <xdr:col>5</xdr:col>
      <xdr:colOff>254000</xdr:colOff>
      <xdr:row>35</xdr:row>
      <xdr:rowOff>87922</xdr:rowOff>
    </xdr:to>
    <xdr:grpSp>
      <xdr:nvGrpSpPr>
        <xdr:cNvPr id="30" name="Group 29">
          <a:extLst>
            <a:ext uri="{FF2B5EF4-FFF2-40B4-BE49-F238E27FC236}">
              <a16:creationId xmlns:a16="http://schemas.microsoft.com/office/drawing/2014/main" id="{16E1AF79-14BA-473C-AEB7-064919AAA25A}"/>
            </a:ext>
          </a:extLst>
        </xdr:cNvPr>
        <xdr:cNvGrpSpPr/>
      </xdr:nvGrpSpPr>
      <xdr:grpSpPr>
        <a:xfrm>
          <a:off x="224691" y="2589910"/>
          <a:ext cx="3077309" cy="3801830"/>
          <a:chOff x="176237" y="4943231"/>
          <a:chExt cx="2012071" cy="3214077"/>
        </a:xfrm>
        <a:effectLst>
          <a:outerShdw blurRad="50800" dist="38100" dir="2700000" algn="tl"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985FD8A2-37C7-30D1-0AED-D0BFD4BA45DE}"/>
              </a:ext>
            </a:extLst>
          </xdr:cNvPr>
          <xdr:cNvSpPr/>
        </xdr:nvSpPr>
        <xdr:spPr>
          <a:xfrm>
            <a:off x="176237" y="4943231"/>
            <a:ext cx="2012071" cy="3214077"/>
          </a:xfrm>
          <a:prstGeom prst="roundRect">
            <a:avLst>
              <a:gd name="adj" fmla="val 8496"/>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mc:AlternateContent xmlns:mc="http://schemas.openxmlformats.org/markup-compatibility/2006" xmlns:a14="http://schemas.microsoft.com/office/drawing/2010/main">
        <mc:Choice Requires="a14">
          <xdr:graphicFrame macro="">
            <xdr:nvGraphicFramePr>
              <xdr:cNvPr id="32" name="Product 2">
                <a:extLst>
                  <a:ext uri="{FF2B5EF4-FFF2-40B4-BE49-F238E27FC236}">
                    <a16:creationId xmlns:a16="http://schemas.microsoft.com/office/drawing/2014/main" id="{BC58E0D3-0D31-BFC8-189D-CE3B3EBC44CD}"/>
                  </a:ext>
                </a:extLst>
              </xdr:cNvPr>
              <xdr:cNvGraphicFramePr/>
            </xdr:nvGraphicFramePr>
            <xdr:xfrm>
              <a:off x="275661" y="5040923"/>
              <a:ext cx="1824028" cy="2983152"/>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376752" y="2705467"/>
                <a:ext cx="2789712" cy="35286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410980</xdr:colOff>
      <xdr:row>37</xdr:row>
      <xdr:rowOff>40146</xdr:rowOff>
    </xdr:from>
    <xdr:to>
      <xdr:col>25</xdr:col>
      <xdr:colOff>283976</xdr:colOff>
      <xdr:row>61</xdr:row>
      <xdr:rowOff>169422</xdr:rowOff>
    </xdr:to>
    <xdr:grpSp>
      <xdr:nvGrpSpPr>
        <xdr:cNvPr id="33" name="Group 32">
          <a:extLst>
            <a:ext uri="{FF2B5EF4-FFF2-40B4-BE49-F238E27FC236}">
              <a16:creationId xmlns:a16="http://schemas.microsoft.com/office/drawing/2014/main" id="{C3586066-F475-49A2-A45B-8AC255869BA2}"/>
            </a:ext>
          </a:extLst>
        </xdr:cNvPr>
        <xdr:cNvGrpSpPr/>
      </xdr:nvGrpSpPr>
      <xdr:grpSpPr>
        <a:xfrm>
          <a:off x="8945380" y="6704182"/>
          <a:ext cx="6578596" cy="4451895"/>
          <a:chOff x="8876487" y="6939900"/>
          <a:chExt cx="6532667" cy="4638646"/>
        </a:xfrm>
      </xdr:grpSpPr>
      <xdr:sp macro="" textlink="">
        <xdr:nvSpPr>
          <xdr:cNvPr id="34" name="Rectangle: Rounded Corners 33">
            <a:extLst>
              <a:ext uri="{FF2B5EF4-FFF2-40B4-BE49-F238E27FC236}">
                <a16:creationId xmlns:a16="http://schemas.microsoft.com/office/drawing/2014/main" id="{AD04C596-58E7-22F5-BD90-8DD2839D302A}"/>
              </a:ext>
            </a:extLst>
          </xdr:cNvPr>
          <xdr:cNvSpPr/>
        </xdr:nvSpPr>
        <xdr:spPr>
          <a:xfrm>
            <a:off x="8876487" y="6939900"/>
            <a:ext cx="6532667" cy="4638646"/>
          </a:xfrm>
          <a:prstGeom prst="roundRect">
            <a:avLst>
              <a:gd name="adj" fmla="val 14982"/>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687704F6-6973-DABB-FF47-C93D12E2F857}"/>
              </a:ext>
            </a:extLst>
          </xdr:cNvPr>
          <xdr:cNvGraphicFramePr>
            <a:graphicFrameLocks/>
          </xdr:cNvGraphicFramePr>
        </xdr:nvGraphicFramePr>
        <xdr:xfrm>
          <a:off x="9091808" y="7400794"/>
          <a:ext cx="6031472" cy="3989889"/>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127001</xdr:colOff>
      <xdr:row>35</xdr:row>
      <xdr:rowOff>157480</xdr:rowOff>
    </xdr:from>
    <xdr:to>
      <xdr:col>5</xdr:col>
      <xdr:colOff>302847</xdr:colOff>
      <xdr:row>62</xdr:row>
      <xdr:rowOff>19538</xdr:rowOff>
    </xdr:to>
    <xdr:sp macro="" textlink="">
      <xdr:nvSpPr>
        <xdr:cNvPr id="36" name="Rectangle: Rounded Corners 35">
          <a:extLst>
            <a:ext uri="{FF2B5EF4-FFF2-40B4-BE49-F238E27FC236}">
              <a16:creationId xmlns:a16="http://schemas.microsoft.com/office/drawing/2014/main" id="{ADF745BD-99EF-4E7A-A814-305274010C40}"/>
            </a:ext>
          </a:extLst>
        </xdr:cNvPr>
        <xdr:cNvSpPr/>
      </xdr:nvSpPr>
      <xdr:spPr>
        <a:xfrm>
          <a:off x="127001" y="6558280"/>
          <a:ext cx="3223846" cy="4799818"/>
        </a:xfrm>
        <a:prstGeom prst="roundRect">
          <a:avLst>
            <a:gd name="adj" fmla="val 9296"/>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20000"/>
                <a:lumOff val="80000"/>
              </a:schemeClr>
            </a:solidFill>
          </a:endParaRPr>
        </a:p>
      </xdr:txBody>
    </xdr:sp>
    <xdr:clientData/>
  </xdr:twoCellAnchor>
  <xdr:twoCellAnchor editAs="oneCell">
    <xdr:from>
      <xdr:col>0</xdr:col>
      <xdr:colOff>371231</xdr:colOff>
      <xdr:row>37</xdr:row>
      <xdr:rowOff>19538</xdr:rowOff>
    </xdr:from>
    <xdr:to>
      <xdr:col>4</xdr:col>
      <xdr:colOff>597462</xdr:colOff>
      <xdr:row>57</xdr:row>
      <xdr:rowOff>123230</xdr:rowOff>
    </xdr:to>
    <mc:AlternateContent xmlns:mc="http://schemas.openxmlformats.org/markup-compatibility/2006" xmlns:a14="http://schemas.microsoft.com/office/drawing/2010/main">
      <mc:Choice Requires="a14">
        <xdr:graphicFrame macro="">
          <xdr:nvGraphicFramePr>
            <xdr:cNvPr id="37" name="Sales Person 2">
              <a:extLst>
                <a:ext uri="{FF2B5EF4-FFF2-40B4-BE49-F238E27FC236}">
                  <a16:creationId xmlns:a16="http://schemas.microsoft.com/office/drawing/2014/main" id="{C53F8128-FC09-49D2-9F69-9A7860AB5069}"/>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371231" y="6683574"/>
              <a:ext cx="2664631" cy="370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517769</xdr:colOff>
      <xdr:row>7</xdr:row>
      <xdr:rowOff>23050</xdr:rowOff>
    </xdr:from>
    <xdr:to>
      <xdr:col>24</xdr:col>
      <xdr:colOff>566615</xdr:colOff>
      <xdr:row>13</xdr:row>
      <xdr:rowOff>107460</xdr:rowOff>
    </xdr:to>
    <xdr:grpSp>
      <xdr:nvGrpSpPr>
        <xdr:cNvPr id="38" name="Group 37">
          <a:extLst>
            <a:ext uri="{FF2B5EF4-FFF2-40B4-BE49-F238E27FC236}">
              <a16:creationId xmlns:a16="http://schemas.microsoft.com/office/drawing/2014/main" id="{E75E8944-EF6B-48F0-91F3-6C38DD70A084}"/>
            </a:ext>
          </a:extLst>
        </xdr:cNvPr>
        <xdr:cNvGrpSpPr/>
      </xdr:nvGrpSpPr>
      <xdr:grpSpPr>
        <a:xfrm>
          <a:off x="12709769" y="1283814"/>
          <a:ext cx="2487246" cy="1165064"/>
          <a:chOff x="13120075" y="2973358"/>
          <a:chExt cx="2471615" cy="1198102"/>
        </a:xfrm>
        <a:solidFill>
          <a:schemeClr val="accent5">
            <a:lumMod val="20000"/>
            <a:lumOff val="80000"/>
          </a:schemeClr>
        </a:solidFill>
      </xdr:grpSpPr>
      <xdr:grpSp>
        <xdr:nvGrpSpPr>
          <xdr:cNvPr id="39" name="Group 38">
            <a:extLst>
              <a:ext uri="{FF2B5EF4-FFF2-40B4-BE49-F238E27FC236}">
                <a16:creationId xmlns:a16="http://schemas.microsoft.com/office/drawing/2014/main" id="{0BA37DD2-740E-8C8E-C67D-240F0F4E5321}"/>
              </a:ext>
            </a:extLst>
          </xdr:cNvPr>
          <xdr:cNvGrpSpPr/>
        </xdr:nvGrpSpPr>
        <xdr:grpSpPr>
          <a:xfrm>
            <a:off x="13120075" y="2973358"/>
            <a:ext cx="2471615" cy="1198102"/>
            <a:chOff x="2909469" y="2270644"/>
            <a:chExt cx="2052646" cy="1534974"/>
          </a:xfrm>
          <a:grpFill/>
        </xdr:grpSpPr>
        <xdr:sp macro="" textlink="">
          <xdr:nvSpPr>
            <xdr:cNvPr id="41" name="Rectangle: Rounded Corners 40">
              <a:extLst>
                <a:ext uri="{FF2B5EF4-FFF2-40B4-BE49-F238E27FC236}">
                  <a16:creationId xmlns:a16="http://schemas.microsoft.com/office/drawing/2014/main" id="{2915F618-C137-F8F4-8B91-EF84E8B55227}"/>
                </a:ext>
              </a:extLst>
            </xdr:cNvPr>
            <xdr:cNvSpPr/>
          </xdr:nvSpPr>
          <xdr:spPr>
            <a:xfrm>
              <a:off x="2909469" y="2270644"/>
              <a:ext cx="2052646" cy="1534974"/>
            </a:xfrm>
            <a:prstGeom prst="roundRect">
              <a:avLst>
                <a:gd name="adj" fmla="val 26908"/>
              </a:avLst>
            </a:prstGeom>
            <a:gr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grpSp>
      <mc:AlternateContent xmlns:mc="http://schemas.openxmlformats.org/markup-compatibility/2006" xmlns:a14="http://schemas.microsoft.com/office/drawing/2010/main">
        <mc:Choice Requires="a14">
          <xdr:graphicFrame macro="">
            <xdr:nvGraphicFramePr>
              <xdr:cNvPr id="40" name="Region 2">
                <a:extLst>
                  <a:ext uri="{FF2B5EF4-FFF2-40B4-BE49-F238E27FC236}">
                    <a16:creationId xmlns:a16="http://schemas.microsoft.com/office/drawing/2014/main" id="{36258D08-2479-66EE-7640-BA983DF8BEA5}"/>
                  </a:ext>
                </a:extLst>
              </xdr:cNvPr>
              <xdr:cNvGraphicFramePr/>
            </xdr:nvGraphicFramePr>
            <xdr:xfrm>
              <a:off x="13297291" y="3107984"/>
              <a:ext cx="2137576" cy="956016"/>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888106" y="1414728"/>
                <a:ext cx="2151094" cy="929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459153</xdr:colOff>
      <xdr:row>15</xdr:row>
      <xdr:rowOff>19538</xdr:rowOff>
    </xdr:from>
    <xdr:to>
      <xdr:col>15</xdr:col>
      <xdr:colOff>293077</xdr:colOff>
      <xdr:row>35</xdr:row>
      <xdr:rowOff>107461</xdr:rowOff>
    </xdr:to>
    <xdr:sp macro="" textlink="">
      <xdr:nvSpPr>
        <xdr:cNvPr id="42" name="Rectangle: Rounded Corners 41">
          <a:extLst>
            <a:ext uri="{FF2B5EF4-FFF2-40B4-BE49-F238E27FC236}">
              <a16:creationId xmlns:a16="http://schemas.microsoft.com/office/drawing/2014/main" id="{3C60AF8A-E5F8-40CD-A51D-DC275BA9A34B}"/>
            </a:ext>
          </a:extLst>
        </xdr:cNvPr>
        <xdr:cNvSpPr/>
      </xdr:nvSpPr>
      <xdr:spPr>
        <a:xfrm>
          <a:off x="3507153" y="2762738"/>
          <a:ext cx="5929924" cy="3745523"/>
        </a:xfrm>
        <a:prstGeom prst="roundRect">
          <a:avLst>
            <a:gd name="adj" fmla="val 18918"/>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595923</xdr:colOff>
      <xdr:row>16</xdr:row>
      <xdr:rowOff>117231</xdr:rowOff>
    </xdr:from>
    <xdr:to>
      <xdr:col>15</xdr:col>
      <xdr:colOff>107461</xdr:colOff>
      <xdr:row>34</xdr:row>
      <xdr:rowOff>0</xdr:rowOff>
    </xdr:to>
    <xdr:graphicFrame macro="">
      <xdr:nvGraphicFramePr>
        <xdr:cNvPr id="43" name="Chart 42">
          <a:extLst>
            <a:ext uri="{FF2B5EF4-FFF2-40B4-BE49-F238E27FC236}">
              <a16:creationId xmlns:a16="http://schemas.microsoft.com/office/drawing/2014/main" id="{FDA9BC65-B57F-4DAB-9C77-97FBE792D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508000</xdr:colOff>
      <xdr:row>37</xdr:row>
      <xdr:rowOff>10940</xdr:rowOff>
    </xdr:from>
    <xdr:to>
      <xdr:col>14</xdr:col>
      <xdr:colOff>156309</xdr:colOff>
      <xdr:row>61</xdr:row>
      <xdr:rowOff>175846</xdr:rowOff>
    </xdr:to>
    <xdr:grpSp>
      <xdr:nvGrpSpPr>
        <xdr:cNvPr id="44" name="Group 43">
          <a:extLst>
            <a:ext uri="{FF2B5EF4-FFF2-40B4-BE49-F238E27FC236}">
              <a16:creationId xmlns:a16="http://schemas.microsoft.com/office/drawing/2014/main" id="{E6E606E1-9745-471F-943E-3E015F414E88}"/>
            </a:ext>
          </a:extLst>
        </xdr:cNvPr>
        <xdr:cNvGrpSpPr/>
      </xdr:nvGrpSpPr>
      <xdr:grpSpPr>
        <a:xfrm>
          <a:off x="3556000" y="6674976"/>
          <a:ext cx="5134709" cy="4487525"/>
          <a:chOff x="3535123" y="6962885"/>
          <a:chExt cx="5097131" cy="4674276"/>
        </a:xfrm>
      </xdr:grpSpPr>
      <xdr:sp macro="" textlink="">
        <xdr:nvSpPr>
          <xdr:cNvPr id="45" name="Rectangle: Rounded Corners 44">
            <a:extLst>
              <a:ext uri="{FF2B5EF4-FFF2-40B4-BE49-F238E27FC236}">
                <a16:creationId xmlns:a16="http://schemas.microsoft.com/office/drawing/2014/main" id="{AF0D5DDD-6BD4-2174-7F08-612D25194F38}"/>
              </a:ext>
            </a:extLst>
          </xdr:cNvPr>
          <xdr:cNvSpPr/>
        </xdr:nvSpPr>
        <xdr:spPr>
          <a:xfrm>
            <a:off x="3535123" y="6962885"/>
            <a:ext cx="5097131" cy="4674276"/>
          </a:xfrm>
          <a:prstGeom prst="roundRect">
            <a:avLst>
              <a:gd name="adj" fmla="val 13778"/>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6" name="Chart 45">
            <a:extLst>
              <a:ext uri="{FF2B5EF4-FFF2-40B4-BE49-F238E27FC236}">
                <a16:creationId xmlns:a16="http://schemas.microsoft.com/office/drawing/2014/main" id="{E7DB9EF8-4C05-0DBA-1309-A2CB42DADC7D}"/>
              </a:ext>
            </a:extLst>
          </xdr:cNvPr>
          <xdr:cNvGraphicFramePr>
            <a:graphicFrameLocks/>
          </xdr:cNvGraphicFramePr>
        </xdr:nvGraphicFramePr>
        <xdr:xfrm>
          <a:off x="3632548" y="7208220"/>
          <a:ext cx="4833896" cy="407497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5</xdr:col>
      <xdr:colOff>586153</xdr:colOff>
      <xdr:row>0</xdr:row>
      <xdr:rowOff>175847</xdr:rowOff>
    </xdr:from>
    <xdr:to>
      <xdr:col>18</xdr:col>
      <xdr:colOff>537307</xdr:colOff>
      <xdr:row>4</xdr:row>
      <xdr:rowOff>156307</xdr:rowOff>
    </xdr:to>
    <xdr:sp macro="" textlink="">
      <xdr:nvSpPr>
        <xdr:cNvPr id="47" name="TextBox 46">
          <a:extLst>
            <a:ext uri="{FF2B5EF4-FFF2-40B4-BE49-F238E27FC236}">
              <a16:creationId xmlns:a16="http://schemas.microsoft.com/office/drawing/2014/main" id="{1624E778-87F4-4761-9165-A6EAE23FF346}"/>
            </a:ext>
          </a:extLst>
        </xdr:cNvPr>
        <xdr:cNvSpPr txBox="1"/>
      </xdr:nvSpPr>
      <xdr:spPr>
        <a:xfrm>
          <a:off x="3634153" y="175847"/>
          <a:ext cx="7875954" cy="71198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cene3d>
            <a:camera prst="orthographicFront"/>
            <a:lightRig rig="harsh" dir="t"/>
          </a:scene3d>
          <a:sp3d extrusionH="57150" prstMaterial="matte">
            <a:bevelT w="63500" h="12700" prst="angle"/>
            <a:contourClr>
              <a:schemeClr val="bg1">
                <a:lumMod val="65000"/>
              </a:schemeClr>
            </a:contourClr>
          </a:sp3d>
        </a:bodyPr>
        <a:lstStyle/>
        <a:p>
          <a:pPr algn="l"/>
          <a:r>
            <a:rPr lang="en-IN" sz="2400" b="1" cap="none" spc="0">
              <a:ln/>
              <a:solidFill>
                <a:schemeClr val="tx1">
                  <a:lumMod val="95000"/>
                  <a:lumOff val="5000"/>
                </a:schemeClr>
              </a:solidFill>
              <a:effectLst/>
            </a:rPr>
            <a:t>                                         Sales</a:t>
          </a:r>
          <a:r>
            <a:rPr lang="en-IN" sz="2400" b="1" cap="none" spc="0" baseline="0">
              <a:ln/>
              <a:solidFill>
                <a:schemeClr val="tx1">
                  <a:lumMod val="95000"/>
                  <a:lumOff val="5000"/>
                </a:schemeClr>
              </a:solidFill>
              <a:effectLst/>
            </a:rPr>
            <a:t> Report  Dasboard -2025</a:t>
          </a:r>
          <a:endParaRPr lang="en-IN" sz="2400" b="1" cap="none" spc="0">
            <a:ln/>
            <a:solidFill>
              <a:schemeClr val="tx1">
                <a:lumMod val="95000"/>
                <a:lumOff val="5000"/>
              </a:schemeClr>
            </a:solidFill>
            <a:effectLst/>
          </a:endParaRPr>
        </a:p>
      </xdr:txBody>
    </xdr:sp>
    <xdr:clientData/>
  </xdr:twoCellAnchor>
  <xdr:twoCellAnchor editAs="oneCell">
    <xdr:from>
      <xdr:col>8</xdr:col>
      <xdr:colOff>97691</xdr:colOff>
      <xdr:row>0</xdr:row>
      <xdr:rowOff>146539</xdr:rowOff>
    </xdr:from>
    <xdr:to>
      <xdr:col>9</xdr:col>
      <xdr:colOff>406398</xdr:colOff>
      <xdr:row>5</xdr:row>
      <xdr:rowOff>0</xdr:rowOff>
    </xdr:to>
    <xdr:pic>
      <xdr:nvPicPr>
        <xdr:cNvPr id="48" name="Graphic 47" descr="City with solid fill">
          <a:extLst>
            <a:ext uri="{FF2B5EF4-FFF2-40B4-BE49-F238E27FC236}">
              <a16:creationId xmlns:a16="http://schemas.microsoft.com/office/drawing/2014/main" id="{98A24885-C0F5-49BB-A1DE-C69D2CB48FA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974491" y="146539"/>
          <a:ext cx="918307" cy="767861"/>
        </a:xfrm>
        <a:prstGeom prst="rect">
          <a:avLst/>
        </a:prstGeom>
      </xdr:spPr>
    </xdr:pic>
    <xdr:clientData/>
  </xdr:twoCellAnchor>
  <xdr:twoCellAnchor editAs="oneCell">
    <xdr:from>
      <xdr:col>11</xdr:col>
      <xdr:colOff>87924</xdr:colOff>
      <xdr:row>7</xdr:row>
      <xdr:rowOff>175846</xdr:rowOff>
    </xdr:from>
    <xdr:to>
      <xdr:col>12</xdr:col>
      <xdr:colOff>396631</xdr:colOff>
      <xdr:row>13</xdr:row>
      <xdr:rowOff>9769</xdr:rowOff>
    </xdr:to>
    <xdr:pic>
      <xdr:nvPicPr>
        <xdr:cNvPr id="49" name="Graphic 48" descr="Bar graph with upward trend with solid fill">
          <a:extLst>
            <a:ext uri="{FF2B5EF4-FFF2-40B4-BE49-F238E27FC236}">
              <a16:creationId xmlns:a16="http://schemas.microsoft.com/office/drawing/2014/main" id="{9C309FCB-CEEE-4631-8424-9AE5C634F2C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93524" y="1456006"/>
          <a:ext cx="918307" cy="931203"/>
        </a:xfrm>
        <a:prstGeom prst="rect">
          <a:avLst/>
        </a:prstGeom>
      </xdr:spPr>
    </xdr:pic>
    <xdr:clientData/>
  </xdr:twoCellAnchor>
  <xdr:twoCellAnchor editAs="oneCell">
    <xdr:from>
      <xdr:col>0</xdr:col>
      <xdr:colOff>205154</xdr:colOff>
      <xdr:row>7</xdr:row>
      <xdr:rowOff>126999</xdr:rowOff>
    </xdr:from>
    <xdr:to>
      <xdr:col>1</xdr:col>
      <xdr:colOff>513862</xdr:colOff>
      <xdr:row>12</xdr:row>
      <xdr:rowOff>113322</xdr:rowOff>
    </xdr:to>
    <xdr:pic>
      <xdr:nvPicPr>
        <xdr:cNvPr id="50" name="Graphic 49" descr="Money with solid fill">
          <a:extLst>
            <a:ext uri="{FF2B5EF4-FFF2-40B4-BE49-F238E27FC236}">
              <a16:creationId xmlns:a16="http://schemas.microsoft.com/office/drawing/2014/main" id="{7EBA109F-F84B-4454-8EB0-9D93A84090A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5154" y="1407159"/>
          <a:ext cx="918308" cy="900723"/>
        </a:xfrm>
        <a:prstGeom prst="rect">
          <a:avLst/>
        </a:prstGeom>
      </xdr:spPr>
    </xdr:pic>
    <xdr:clientData/>
  </xdr:twoCellAnchor>
  <xdr:twoCellAnchor editAs="oneCell">
    <xdr:from>
      <xdr:col>5</xdr:col>
      <xdr:colOff>517769</xdr:colOff>
      <xdr:row>7</xdr:row>
      <xdr:rowOff>156308</xdr:rowOff>
    </xdr:from>
    <xdr:to>
      <xdr:col>7</xdr:col>
      <xdr:colOff>220785</xdr:colOff>
      <xdr:row>12</xdr:row>
      <xdr:rowOff>142631</xdr:rowOff>
    </xdr:to>
    <xdr:pic>
      <xdr:nvPicPr>
        <xdr:cNvPr id="51" name="Graphic 50" descr="Shopping cart with solid fill">
          <a:extLst>
            <a:ext uri="{FF2B5EF4-FFF2-40B4-BE49-F238E27FC236}">
              <a16:creationId xmlns:a16="http://schemas.microsoft.com/office/drawing/2014/main" id="{0914BC1E-FADF-48DD-BF60-7070272C191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565769" y="1436468"/>
          <a:ext cx="922216" cy="900723"/>
        </a:xfrm>
        <a:prstGeom prst="rect">
          <a:avLst/>
        </a:prstGeom>
      </xdr:spPr>
    </xdr:pic>
    <xdr:clientData/>
  </xdr:twoCellAnchor>
  <xdr:twoCellAnchor editAs="oneCell">
    <xdr:from>
      <xdr:col>16</xdr:col>
      <xdr:colOff>68385</xdr:colOff>
      <xdr:row>7</xdr:row>
      <xdr:rowOff>175845</xdr:rowOff>
    </xdr:from>
    <xdr:to>
      <xdr:col>17</xdr:col>
      <xdr:colOff>377093</xdr:colOff>
      <xdr:row>13</xdr:row>
      <xdr:rowOff>9768</xdr:rowOff>
    </xdr:to>
    <xdr:pic>
      <xdr:nvPicPr>
        <xdr:cNvPr id="52" name="Graphic 51" descr="Bar chart with solid fill">
          <a:extLst>
            <a:ext uri="{FF2B5EF4-FFF2-40B4-BE49-F238E27FC236}">
              <a16:creationId xmlns:a16="http://schemas.microsoft.com/office/drawing/2014/main" id="{412D7297-329A-416B-B197-942C30BFC10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821985" y="1456005"/>
          <a:ext cx="918308" cy="931203"/>
        </a:xfrm>
        <a:prstGeom prst="rect">
          <a:avLst/>
        </a:prstGeom>
      </xdr:spPr>
    </xdr:pic>
    <xdr:clientData/>
  </xdr:twoCellAnchor>
  <xdr:twoCellAnchor>
    <xdr:from>
      <xdr:col>18</xdr:col>
      <xdr:colOff>208766</xdr:colOff>
      <xdr:row>37</xdr:row>
      <xdr:rowOff>125261</xdr:rowOff>
    </xdr:from>
    <xdr:to>
      <xdr:col>22</xdr:col>
      <xdr:colOff>52191</xdr:colOff>
      <xdr:row>38</xdr:row>
      <xdr:rowOff>177452</xdr:rowOff>
    </xdr:to>
    <xdr:sp macro="" textlink="">
      <xdr:nvSpPr>
        <xdr:cNvPr id="53" name="TextBox 52">
          <a:extLst>
            <a:ext uri="{FF2B5EF4-FFF2-40B4-BE49-F238E27FC236}">
              <a16:creationId xmlns:a16="http://schemas.microsoft.com/office/drawing/2014/main" id="{74D6D9B2-8A88-463C-88BB-FAE5AFB79D88}"/>
            </a:ext>
          </a:extLst>
        </xdr:cNvPr>
        <xdr:cNvSpPr txBox="1"/>
      </xdr:nvSpPr>
      <xdr:spPr>
        <a:xfrm>
          <a:off x="11181566" y="6891821"/>
          <a:ext cx="2281825" cy="235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cap="all" baseline="0">
              <a:solidFill>
                <a:schemeClr val="dk1"/>
              </a:solidFill>
              <a:effectLst/>
              <a:latin typeface="+mn-lt"/>
              <a:ea typeface="+mn-ea"/>
              <a:cs typeface="+mn-cs"/>
            </a:rPr>
            <a:t>units sold by  products</a:t>
          </a:r>
          <a:endParaRPr lang="en-IN" sz="1400">
            <a:effectLst/>
          </a:endParaRP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11</xdr:row>
      <xdr:rowOff>125730</xdr:rowOff>
    </xdr:from>
    <xdr:to>
      <xdr:col>5</xdr:col>
      <xdr:colOff>236220</xdr:colOff>
      <xdr:row>26</xdr:row>
      <xdr:rowOff>125730</xdr:rowOff>
    </xdr:to>
    <xdr:graphicFrame macro="">
      <xdr:nvGraphicFramePr>
        <xdr:cNvPr id="7" name="Chart 6">
          <a:extLst>
            <a:ext uri="{FF2B5EF4-FFF2-40B4-BE49-F238E27FC236}">
              <a16:creationId xmlns:a16="http://schemas.microsoft.com/office/drawing/2014/main" id="{DBEBEBF3-A235-1618-0398-F515C394F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373380</xdr:colOff>
      <xdr:row>13</xdr:row>
      <xdr:rowOff>106680</xdr:rowOff>
    </xdr:from>
    <xdr:to>
      <xdr:col>15</xdr:col>
      <xdr:colOff>434340</xdr:colOff>
      <xdr:row>33</xdr:row>
      <xdr:rowOff>83820</xdr:rowOff>
    </xdr:to>
    <xdr:graphicFrame macro="">
      <xdr:nvGraphicFramePr>
        <xdr:cNvPr id="10" name="Chart 9">
          <a:extLst>
            <a:ext uri="{FF2B5EF4-FFF2-40B4-BE49-F238E27FC236}">
              <a16:creationId xmlns:a16="http://schemas.microsoft.com/office/drawing/2014/main" id="{7B165E04-25C0-B126-F67B-3CA10FC88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487680</xdr:colOff>
      <xdr:row>8</xdr:row>
      <xdr:rowOff>137160</xdr:rowOff>
    </xdr:from>
    <xdr:to>
      <xdr:col>15</xdr:col>
      <xdr:colOff>487680</xdr:colOff>
      <xdr:row>22</xdr:row>
      <xdr:rowOff>158115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87362FA6-420A-3CA7-266D-42D42EEEB5EC}"/>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503920" y="1600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411480</xdr:colOff>
      <xdr:row>7</xdr:row>
      <xdr:rowOff>72390</xdr:rowOff>
    </xdr:from>
    <xdr:to>
      <xdr:col>12</xdr:col>
      <xdr:colOff>106680</xdr:colOff>
      <xdr:row>22</xdr:row>
      <xdr:rowOff>72390</xdr:rowOff>
    </xdr:to>
    <xdr:graphicFrame macro="">
      <xdr:nvGraphicFramePr>
        <xdr:cNvPr id="4" name="Chart 3">
          <a:extLst>
            <a:ext uri="{FF2B5EF4-FFF2-40B4-BE49-F238E27FC236}">
              <a16:creationId xmlns:a16="http://schemas.microsoft.com/office/drawing/2014/main" id="{80F91797-A020-913B-3327-B71240E0C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alakrishnan s" refreshedDate="46006.406726157409" createdVersion="8" refreshedVersion="8" minRefreshableVersion="3" recordCount="50" xr:uid="{1762598B-ECEE-4772-99A6-92AAE98BAE84}">
  <cacheSource type="worksheet">
    <worksheetSource name="Table1"/>
  </cacheSource>
  <cacheFields count="12">
    <cacheField name="Date" numFmtId="14">
      <sharedItems containsSemiMixedTypes="0" containsNonDate="0" containsDate="1" containsString="0" minDate="2020-05-07T00:00:00" maxDate="2021-12-22T00:00:00" count="47">
        <d v="2021-02-19T00:00:00"/>
        <d v="2021-09-07T00:00:00"/>
        <d v="2021-02-03T00:00:00"/>
        <d v="2020-09-11T00:00:00"/>
        <d v="2021-09-23T00:00:00"/>
        <d v="2020-10-01T00:00:00"/>
        <d v="2021-08-05T00:00:00"/>
        <d v="2020-11-06T00:00:00"/>
        <d v="2021-01-27T00:00:00"/>
        <d v="2021-09-03T00:00:00"/>
        <d v="2021-09-30T00:00:00"/>
        <d v="2020-09-10T00:00:00"/>
        <d v="2021-07-27T00:00:00"/>
        <d v="2020-10-09T00:00:00"/>
        <d v="2021-04-06T00:00:00"/>
        <d v="2021-06-15T00:00:00"/>
        <d v="2020-09-09T00:00:00"/>
        <d v="2021-08-13T00:00:00"/>
        <d v="2020-08-27T00:00:00"/>
        <d v="2021-04-07T00:00:00"/>
        <d v="2020-06-08T00:00:00"/>
        <d v="2021-12-21T00:00:00"/>
        <d v="2021-08-10T00:00:00"/>
        <d v="2021-12-02T00:00:00"/>
        <d v="2021-08-30T00:00:00"/>
        <d v="2020-05-20T00:00:00"/>
        <d v="2021-09-13T00:00:00"/>
        <d v="2021-10-27T00:00:00"/>
        <d v="2020-12-22T00:00:00"/>
        <d v="2021-07-28T00:00:00"/>
        <d v="2020-09-29T00:00:00"/>
        <d v="2020-10-22T00:00:00"/>
        <d v="2020-05-19T00:00:00"/>
        <d v="2021-12-06T00:00:00"/>
        <d v="2020-08-26T00:00:00"/>
        <d v="2021-07-01T00:00:00"/>
        <d v="2020-10-05T00:00:00"/>
        <d v="2020-09-02T00:00:00"/>
        <d v="2021-09-02T00:00:00"/>
        <d v="2021-04-13T00:00:00"/>
        <d v="2021-05-06T00:00:00"/>
        <d v="2021-01-15T00:00:00"/>
        <d v="2021-02-05T00:00:00"/>
        <d v="2021-11-17T00:00:00"/>
        <d v="2020-12-28T00:00:00"/>
        <d v="2021-11-02T00:00:00"/>
        <d v="2020-05-07T00:00:00"/>
      </sharedItems>
      <fieldGroup par="11"/>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ount="48">
        <n v="168000"/>
        <n v="128000"/>
        <n v="54400"/>
        <n v="27300"/>
        <n v="110000"/>
        <n v="20400"/>
        <n v="23400"/>
        <n v="292000"/>
        <n v="20200"/>
        <n v="104000"/>
        <n v="22000"/>
        <n v="41100"/>
        <n v="96000"/>
        <n v="52000"/>
        <n v="76000"/>
        <n v="145000"/>
        <n v="16600"/>
        <n v="324000"/>
        <n v="144000"/>
        <n v="18400"/>
        <n v="142000"/>
        <n v="20600"/>
        <n v="16500"/>
        <n v="93000"/>
        <n v="28600"/>
        <n v="143000"/>
        <n v="19800"/>
        <n v="36000"/>
        <n v="66000"/>
        <n v="35200"/>
        <n v="381000"/>
        <n v="67000"/>
        <n v="26800"/>
        <n v="44700"/>
        <n v="20800"/>
        <n v="11400"/>
        <n v="18000"/>
        <n v="13400"/>
        <n v="127000"/>
        <n v="32400"/>
        <n v="156000"/>
        <n v="20700"/>
        <n v="23600"/>
        <n v="21800"/>
        <n v="61000"/>
        <n v="26000"/>
        <n v="60000"/>
        <n v="146000"/>
      </sharedItems>
    </cacheField>
    <cacheField name="Months (Date)" numFmtId="0" databaseField="0">
      <fieldGroup base="0">
        <rangePr groupBy="months" startDate="2020-05-07T00:00:00" endDate="2021-12-22T00:00:00"/>
        <groupItems count="14">
          <s v="&lt;07-05-2020"/>
          <s v="Jan"/>
          <s v="Feb"/>
          <s v="Mar"/>
          <s v="Apr"/>
          <s v="May"/>
          <s v="Jun"/>
          <s v="Jul"/>
          <s v="Aug"/>
          <s v="Sep"/>
          <s v="Oct"/>
          <s v="Nov"/>
          <s v="Dec"/>
          <s v="&gt;22-12-2021"/>
        </groupItems>
      </fieldGroup>
    </cacheField>
    <cacheField name="Quarters (Date)" numFmtId="0" databaseField="0">
      <fieldGroup base="0">
        <rangePr groupBy="quarters" startDate="2020-05-07T00:00:00" endDate="2021-12-22T00:00:00"/>
        <groupItems count="6">
          <s v="&lt;07-05-2020"/>
          <s v="Qtr1"/>
          <s v="Qtr2"/>
          <s v="Qtr3"/>
          <s v="Qtr4"/>
          <s v="&gt;22-12-2021"/>
        </groupItems>
      </fieldGroup>
    </cacheField>
    <cacheField name="Years (Date)" numFmtId="0" databaseField="0">
      <fieldGroup base="0">
        <rangePr groupBy="years" startDate="2020-05-07T00:00:00" endDate="2021-12-22T00:00:00"/>
        <groupItems count="4">
          <s v="&lt;07-05-2020"/>
          <s v="2020"/>
          <s v="2021"/>
          <s v="&gt;22-12-2021"/>
        </groupItems>
      </fieldGroup>
    </cacheField>
  </cacheFields>
  <extLst>
    <ext xmlns:x14="http://schemas.microsoft.com/office/spreadsheetml/2009/9/main" uri="{725AE2AE-9491-48be-B2B4-4EB974FC3084}">
      <x14:pivotCacheDefinition pivotCacheId="1570013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4"/>
    <n v="6000"/>
    <n v="4000"/>
    <n v="504000"/>
    <x v="0"/>
  </r>
  <r>
    <x v="1"/>
    <x v="1"/>
    <x v="1"/>
    <x v="1"/>
    <n v="128"/>
    <n v="3500"/>
    <n v="2500"/>
    <n v="448000"/>
    <x v="1"/>
  </r>
  <r>
    <x v="2"/>
    <x v="2"/>
    <x v="2"/>
    <x v="2"/>
    <n v="136"/>
    <n v="1200"/>
    <n v="800"/>
    <n v="163200"/>
    <x v="2"/>
  </r>
  <r>
    <x v="3"/>
    <x v="3"/>
    <x v="3"/>
    <x v="3"/>
    <n v="91"/>
    <n v="1000"/>
    <n v="700"/>
    <n v="91000"/>
    <x v="3"/>
  </r>
  <r>
    <x v="4"/>
    <x v="4"/>
    <x v="0"/>
    <x v="4"/>
    <n v="110"/>
    <n v="4000"/>
    <n v="3000"/>
    <n v="440000"/>
    <x v="4"/>
  </r>
  <r>
    <x v="5"/>
    <x v="5"/>
    <x v="1"/>
    <x v="2"/>
    <n v="51"/>
    <n v="1200"/>
    <n v="800"/>
    <n v="61200"/>
    <x v="5"/>
  </r>
  <r>
    <x v="6"/>
    <x v="6"/>
    <x v="3"/>
    <x v="3"/>
    <n v="78"/>
    <n v="1000"/>
    <n v="700"/>
    <n v="78000"/>
    <x v="6"/>
  </r>
  <r>
    <x v="7"/>
    <x v="7"/>
    <x v="2"/>
    <x v="0"/>
    <n v="146"/>
    <n v="6000"/>
    <n v="4000"/>
    <n v="876000"/>
    <x v="7"/>
  </r>
  <r>
    <x v="8"/>
    <x v="8"/>
    <x v="0"/>
    <x v="5"/>
    <n v="101"/>
    <n v="600"/>
    <n v="400"/>
    <n v="60600"/>
    <x v="8"/>
  </r>
  <r>
    <x v="9"/>
    <x v="9"/>
    <x v="2"/>
    <x v="0"/>
    <n v="52"/>
    <n v="6000"/>
    <n v="4000"/>
    <n v="312000"/>
    <x v="9"/>
  </r>
  <r>
    <x v="10"/>
    <x v="9"/>
    <x v="1"/>
    <x v="2"/>
    <n v="55"/>
    <n v="1200"/>
    <n v="800"/>
    <n v="66000"/>
    <x v="10"/>
  </r>
  <r>
    <x v="11"/>
    <x v="9"/>
    <x v="2"/>
    <x v="3"/>
    <n v="137"/>
    <n v="1000"/>
    <n v="700"/>
    <n v="137000"/>
    <x v="11"/>
  </r>
  <r>
    <x v="12"/>
    <x v="7"/>
    <x v="2"/>
    <x v="1"/>
    <n v="96"/>
    <n v="3500"/>
    <n v="2500"/>
    <n v="336000"/>
    <x v="12"/>
  </r>
  <r>
    <x v="13"/>
    <x v="8"/>
    <x v="1"/>
    <x v="4"/>
    <n v="52"/>
    <n v="4000"/>
    <n v="3000"/>
    <n v="208000"/>
    <x v="13"/>
  </r>
  <r>
    <x v="14"/>
    <x v="3"/>
    <x v="0"/>
    <x v="1"/>
    <n v="76"/>
    <n v="3500"/>
    <n v="2500"/>
    <n v="266000"/>
    <x v="14"/>
  </r>
  <r>
    <x v="15"/>
    <x v="1"/>
    <x v="3"/>
    <x v="4"/>
    <n v="145"/>
    <n v="4000"/>
    <n v="3000"/>
    <n v="580000"/>
    <x v="15"/>
  </r>
  <r>
    <x v="16"/>
    <x v="0"/>
    <x v="2"/>
    <x v="5"/>
    <n v="83"/>
    <n v="600"/>
    <n v="400"/>
    <n v="49800"/>
    <x v="16"/>
  </r>
  <r>
    <x v="17"/>
    <x v="4"/>
    <x v="2"/>
    <x v="3"/>
    <n v="91"/>
    <n v="1000"/>
    <n v="700"/>
    <n v="91000"/>
    <x v="3"/>
  </r>
  <r>
    <x v="18"/>
    <x v="5"/>
    <x v="0"/>
    <x v="6"/>
    <n v="108"/>
    <n v="10000"/>
    <n v="7000"/>
    <n v="1080000"/>
    <x v="17"/>
  </r>
  <r>
    <x v="19"/>
    <x v="2"/>
    <x v="3"/>
    <x v="4"/>
    <n v="144"/>
    <n v="4000"/>
    <n v="3000"/>
    <n v="576000"/>
    <x v="18"/>
  </r>
  <r>
    <x v="20"/>
    <x v="4"/>
    <x v="2"/>
    <x v="5"/>
    <n v="92"/>
    <n v="600"/>
    <n v="400"/>
    <n v="55200"/>
    <x v="19"/>
  </r>
  <r>
    <x v="21"/>
    <x v="7"/>
    <x v="0"/>
    <x v="0"/>
    <n v="71"/>
    <n v="6000"/>
    <n v="4000"/>
    <n v="426000"/>
    <x v="20"/>
  </r>
  <r>
    <x v="22"/>
    <x v="0"/>
    <x v="1"/>
    <x v="5"/>
    <n v="103"/>
    <n v="600"/>
    <n v="400"/>
    <n v="61800"/>
    <x v="21"/>
  </r>
  <r>
    <x v="23"/>
    <x v="9"/>
    <x v="3"/>
    <x v="3"/>
    <n v="55"/>
    <n v="1000"/>
    <n v="700"/>
    <n v="55000"/>
    <x v="22"/>
  </r>
  <r>
    <x v="24"/>
    <x v="5"/>
    <x v="1"/>
    <x v="4"/>
    <n v="93"/>
    <n v="4000"/>
    <n v="3000"/>
    <n v="372000"/>
    <x v="23"/>
  </r>
  <r>
    <x v="25"/>
    <x v="2"/>
    <x v="2"/>
    <x v="5"/>
    <n v="143"/>
    <n v="600"/>
    <n v="400"/>
    <n v="85800"/>
    <x v="24"/>
  </r>
  <r>
    <x v="26"/>
    <x v="6"/>
    <x v="0"/>
    <x v="1"/>
    <n v="143"/>
    <n v="3500"/>
    <n v="2500"/>
    <n v="500500"/>
    <x v="25"/>
  </r>
  <r>
    <x v="27"/>
    <x v="8"/>
    <x v="3"/>
    <x v="5"/>
    <n v="99"/>
    <n v="600"/>
    <n v="400"/>
    <n v="59400"/>
    <x v="26"/>
  </r>
  <r>
    <x v="28"/>
    <x v="3"/>
    <x v="0"/>
    <x v="3"/>
    <n v="120"/>
    <n v="1000"/>
    <n v="700"/>
    <n v="120000"/>
    <x v="27"/>
  </r>
  <r>
    <x v="29"/>
    <x v="1"/>
    <x v="2"/>
    <x v="1"/>
    <n v="66"/>
    <n v="3500"/>
    <n v="2500"/>
    <n v="231000"/>
    <x v="28"/>
  </r>
  <r>
    <x v="30"/>
    <x v="8"/>
    <x v="3"/>
    <x v="2"/>
    <n v="88"/>
    <n v="1200"/>
    <n v="800"/>
    <n v="105600"/>
    <x v="29"/>
  </r>
  <r>
    <x v="31"/>
    <x v="3"/>
    <x v="1"/>
    <x v="6"/>
    <n v="127"/>
    <n v="10000"/>
    <n v="7000"/>
    <n v="1270000"/>
    <x v="30"/>
  </r>
  <r>
    <x v="32"/>
    <x v="4"/>
    <x v="0"/>
    <x v="4"/>
    <n v="67"/>
    <n v="4000"/>
    <n v="3000"/>
    <n v="268000"/>
    <x v="31"/>
  </r>
  <r>
    <x v="33"/>
    <x v="1"/>
    <x v="1"/>
    <x v="2"/>
    <n v="67"/>
    <n v="1200"/>
    <n v="800"/>
    <n v="80400"/>
    <x v="32"/>
  </r>
  <r>
    <x v="34"/>
    <x v="9"/>
    <x v="2"/>
    <x v="3"/>
    <n v="149"/>
    <n v="1000"/>
    <n v="700"/>
    <n v="149000"/>
    <x v="33"/>
  </r>
  <r>
    <x v="35"/>
    <x v="4"/>
    <x v="3"/>
    <x v="5"/>
    <n v="104"/>
    <n v="600"/>
    <n v="400"/>
    <n v="62400"/>
    <x v="34"/>
  </r>
  <r>
    <x v="12"/>
    <x v="7"/>
    <x v="0"/>
    <x v="5"/>
    <n v="57"/>
    <n v="600"/>
    <n v="400"/>
    <n v="34200"/>
    <x v="35"/>
  </r>
  <r>
    <x v="36"/>
    <x v="2"/>
    <x v="1"/>
    <x v="5"/>
    <n v="90"/>
    <n v="600"/>
    <n v="400"/>
    <n v="54000"/>
    <x v="36"/>
  </r>
  <r>
    <x v="37"/>
    <x v="5"/>
    <x v="2"/>
    <x v="5"/>
    <n v="67"/>
    <n v="600"/>
    <n v="400"/>
    <n v="40200"/>
    <x v="37"/>
  </r>
  <r>
    <x v="38"/>
    <x v="0"/>
    <x v="3"/>
    <x v="4"/>
    <n v="127"/>
    <n v="4000"/>
    <n v="3000"/>
    <n v="508000"/>
    <x v="38"/>
  </r>
  <r>
    <x v="39"/>
    <x v="5"/>
    <x v="0"/>
    <x v="3"/>
    <n v="108"/>
    <n v="1000"/>
    <n v="700"/>
    <n v="108000"/>
    <x v="39"/>
  </r>
  <r>
    <x v="40"/>
    <x v="2"/>
    <x v="1"/>
    <x v="1"/>
    <n v="66"/>
    <n v="3500"/>
    <n v="2500"/>
    <n v="231000"/>
    <x v="28"/>
  </r>
  <r>
    <x v="41"/>
    <x v="0"/>
    <x v="3"/>
    <x v="0"/>
    <n v="78"/>
    <n v="6000"/>
    <n v="4000"/>
    <n v="468000"/>
    <x v="40"/>
  </r>
  <r>
    <x v="18"/>
    <x v="7"/>
    <x v="2"/>
    <x v="3"/>
    <n v="69"/>
    <n v="1000"/>
    <n v="700"/>
    <n v="69000"/>
    <x v="41"/>
  </r>
  <r>
    <x v="42"/>
    <x v="4"/>
    <x v="0"/>
    <x v="2"/>
    <n v="59"/>
    <n v="1200"/>
    <n v="800"/>
    <n v="70800"/>
    <x v="42"/>
  </r>
  <r>
    <x v="43"/>
    <x v="9"/>
    <x v="2"/>
    <x v="5"/>
    <n v="109"/>
    <n v="600"/>
    <n v="400"/>
    <n v="65400"/>
    <x v="43"/>
  </r>
  <r>
    <x v="44"/>
    <x v="8"/>
    <x v="1"/>
    <x v="4"/>
    <n v="61"/>
    <n v="4000"/>
    <n v="3000"/>
    <n v="244000"/>
    <x v="44"/>
  </r>
  <r>
    <x v="27"/>
    <x v="4"/>
    <x v="3"/>
    <x v="5"/>
    <n v="130"/>
    <n v="600"/>
    <n v="400"/>
    <n v="78000"/>
    <x v="45"/>
  </r>
  <r>
    <x v="45"/>
    <x v="3"/>
    <x v="2"/>
    <x v="1"/>
    <n v="60"/>
    <n v="3500"/>
    <n v="2500"/>
    <n v="210000"/>
    <x v="46"/>
  </r>
  <r>
    <x v="46"/>
    <x v="1"/>
    <x v="1"/>
    <x v="0"/>
    <n v="73"/>
    <n v="6000"/>
    <n v="4000"/>
    <n v="438000"/>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24EAFB-9D53-4AE8-9383-A638376844C5}"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35:B43"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showAll="0"/>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numFmtId="164" showAll="0"/>
    <pivotField dataField="1" numFmtId="164" showAll="0">
      <items count="49">
        <item x="35"/>
        <item x="37"/>
        <item x="22"/>
        <item x="16"/>
        <item x="36"/>
        <item x="19"/>
        <item x="26"/>
        <item x="8"/>
        <item x="5"/>
        <item x="21"/>
        <item x="41"/>
        <item x="34"/>
        <item x="43"/>
        <item x="10"/>
        <item x="6"/>
        <item x="42"/>
        <item x="45"/>
        <item x="32"/>
        <item x="3"/>
        <item x="24"/>
        <item x="39"/>
        <item x="29"/>
        <item x="27"/>
        <item x="11"/>
        <item x="33"/>
        <item x="13"/>
        <item x="2"/>
        <item x="46"/>
        <item x="44"/>
        <item x="28"/>
        <item x="31"/>
        <item x="14"/>
        <item x="23"/>
        <item x="12"/>
        <item x="9"/>
        <item x="4"/>
        <item x="38"/>
        <item x="1"/>
        <item x="20"/>
        <item x="25"/>
        <item x="18"/>
        <item x="15"/>
        <item x="47"/>
        <item x="40"/>
        <item x="0"/>
        <item x="7"/>
        <item x="17"/>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Profit" fld="8" baseField="0" baseItem="0" numFmtId="164"/>
  </dataFields>
  <chartFormats count="24">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3" count="1" selected="0">
            <x v="1"/>
          </reference>
        </references>
      </pivotArea>
    </chartFormat>
    <chartFormat chart="28" format="2">
      <pivotArea type="data" outline="0" fieldPosition="0">
        <references count="2">
          <reference field="4294967294" count="1" selected="0">
            <x v="0"/>
          </reference>
          <reference field="3" count="1" selected="0">
            <x v="0"/>
          </reference>
        </references>
      </pivotArea>
    </chartFormat>
    <chartFormat chart="28" format="3">
      <pivotArea type="data" outline="0" fieldPosition="0">
        <references count="2">
          <reference field="4294967294" count="1" selected="0">
            <x v="0"/>
          </reference>
          <reference field="3" count="1" selected="0">
            <x v="6"/>
          </reference>
        </references>
      </pivotArea>
    </chartFormat>
    <chartFormat chart="28" format="4">
      <pivotArea type="data" outline="0" fieldPosition="0">
        <references count="2">
          <reference field="4294967294" count="1" selected="0">
            <x v="0"/>
          </reference>
          <reference field="3" count="1" selected="0">
            <x v="5"/>
          </reference>
        </references>
      </pivotArea>
    </chartFormat>
    <chartFormat chart="28" format="5">
      <pivotArea type="data" outline="0" fieldPosition="0">
        <references count="2">
          <reference field="4294967294" count="1" selected="0">
            <x v="0"/>
          </reference>
          <reference field="3" count="1" selected="0">
            <x v="4"/>
          </reference>
        </references>
      </pivotArea>
    </chartFormat>
    <chartFormat chart="28" format="6">
      <pivotArea type="data" outline="0" fieldPosition="0">
        <references count="2">
          <reference field="4294967294" count="1" selected="0">
            <x v="0"/>
          </reference>
          <reference field="3" count="1" selected="0">
            <x v="3"/>
          </reference>
        </references>
      </pivotArea>
    </chartFormat>
    <chartFormat chart="28" format="7">
      <pivotArea type="data" outline="0" fieldPosition="0">
        <references count="2">
          <reference field="4294967294" count="1" selected="0">
            <x v="0"/>
          </reference>
          <reference field="3" count="1" selected="0">
            <x v="2"/>
          </reference>
        </references>
      </pivotArea>
    </chartFormat>
    <chartFormat chart="33" format="32" series="1">
      <pivotArea type="data" outline="0" fieldPosition="0">
        <references count="1">
          <reference field="4294967294" count="1" selected="0">
            <x v="0"/>
          </reference>
        </references>
      </pivotArea>
    </chartFormat>
    <chartFormat chart="33" format="33">
      <pivotArea type="data" outline="0" fieldPosition="0">
        <references count="2">
          <reference field="4294967294" count="1" selected="0">
            <x v="0"/>
          </reference>
          <reference field="3" count="1" selected="0">
            <x v="0"/>
          </reference>
        </references>
      </pivotArea>
    </chartFormat>
    <chartFormat chart="33" format="34">
      <pivotArea type="data" outline="0" fieldPosition="0">
        <references count="2">
          <reference field="4294967294" count="1" selected="0">
            <x v="0"/>
          </reference>
          <reference field="3" count="1" selected="0">
            <x v="1"/>
          </reference>
        </references>
      </pivotArea>
    </chartFormat>
    <chartFormat chart="33" format="35">
      <pivotArea type="data" outline="0" fieldPosition="0">
        <references count="2">
          <reference field="4294967294" count="1" selected="0">
            <x v="0"/>
          </reference>
          <reference field="3" count="1" selected="0">
            <x v="2"/>
          </reference>
        </references>
      </pivotArea>
    </chartFormat>
    <chartFormat chart="33" format="36">
      <pivotArea type="data" outline="0" fieldPosition="0">
        <references count="2">
          <reference field="4294967294" count="1" selected="0">
            <x v="0"/>
          </reference>
          <reference field="3" count="1" selected="0">
            <x v="3"/>
          </reference>
        </references>
      </pivotArea>
    </chartFormat>
    <chartFormat chart="33" format="37">
      <pivotArea type="data" outline="0" fieldPosition="0">
        <references count="2">
          <reference field="4294967294" count="1" selected="0">
            <x v="0"/>
          </reference>
          <reference field="3" count="1" selected="0">
            <x v="4"/>
          </reference>
        </references>
      </pivotArea>
    </chartFormat>
    <chartFormat chart="33" format="38">
      <pivotArea type="data" outline="0" fieldPosition="0">
        <references count="2">
          <reference field="4294967294" count="1" selected="0">
            <x v="0"/>
          </reference>
          <reference field="3" count="1" selected="0">
            <x v="5"/>
          </reference>
        </references>
      </pivotArea>
    </chartFormat>
    <chartFormat chart="33" format="39">
      <pivotArea type="data" outline="0" fieldPosition="0">
        <references count="2">
          <reference field="4294967294" count="1" selected="0">
            <x v="0"/>
          </reference>
          <reference field="3" count="1" selected="0">
            <x v="6"/>
          </reference>
        </references>
      </pivotArea>
    </chartFormat>
    <chartFormat chart="50" format="48" series="1">
      <pivotArea type="data" outline="0" fieldPosition="0">
        <references count="1">
          <reference field="4294967294" count="1" selected="0">
            <x v="0"/>
          </reference>
        </references>
      </pivotArea>
    </chartFormat>
    <chartFormat chart="50" format="49">
      <pivotArea type="data" outline="0" fieldPosition="0">
        <references count="2">
          <reference field="4294967294" count="1" selected="0">
            <x v="0"/>
          </reference>
          <reference field="3" count="1" selected="0">
            <x v="0"/>
          </reference>
        </references>
      </pivotArea>
    </chartFormat>
    <chartFormat chart="50" format="50">
      <pivotArea type="data" outline="0" fieldPosition="0">
        <references count="2">
          <reference field="4294967294" count="1" selected="0">
            <x v="0"/>
          </reference>
          <reference field="3" count="1" selected="0">
            <x v="1"/>
          </reference>
        </references>
      </pivotArea>
    </chartFormat>
    <chartFormat chart="50" format="51">
      <pivotArea type="data" outline="0" fieldPosition="0">
        <references count="2">
          <reference field="4294967294" count="1" selected="0">
            <x v="0"/>
          </reference>
          <reference field="3" count="1" selected="0">
            <x v="2"/>
          </reference>
        </references>
      </pivotArea>
    </chartFormat>
    <chartFormat chart="50" format="52">
      <pivotArea type="data" outline="0" fieldPosition="0">
        <references count="2">
          <reference field="4294967294" count="1" selected="0">
            <x v="0"/>
          </reference>
          <reference field="3" count="1" selected="0">
            <x v="3"/>
          </reference>
        </references>
      </pivotArea>
    </chartFormat>
    <chartFormat chart="50" format="53">
      <pivotArea type="data" outline="0" fieldPosition="0">
        <references count="2">
          <reference field="4294967294" count="1" selected="0">
            <x v="0"/>
          </reference>
          <reference field="3" count="1" selected="0">
            <x v="4"/>
          </reference>
        </references>
      </pivotArea>
    </chartFormat>
    <chartFormat chart="50" format="54">
      <pivotArea type="data" outline="0" fieldPosition="0">
        <references count="2">
          <reference field="4294967294" count="1" selected="0">
            <x v="0"/>
          </reference>
          <reference field="3" count="1" selected="0">
            <x v="5"/>
          </reference>
        </references>
      </pivotArea>
    </chartFormat>
    <chartFormat chart="50" format="55">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75B7A-EA76-4A7F-BBEB-7EC2E401C5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B17:C25"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showAll="0"/>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37DC16-D1DA-4F16-A8E4-5A5745CFE2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11:L22"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D16A0-E8A3-4192-B707-999382BF0BB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L4:M12"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showAll="0"/>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Total Sales" fld="7" baseField="0" baseItem="0" numFmtId="164"/>
  </dataFields>
  <chartFormats count="8">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3" count="1" selected="0">
            <x v="4"/>
          </reference>
        </references>
      </pivotArea>
    </chartFormat>
    <chartFormat chart="29" format="2">
      <pivotArea type="data" outline="0" fieldPosition="0">
        <references count="2">
          <reference field="4294967294" count="1" selected="0">
            <x v="0"/>
          </reference>
          <reference field="3" count="1" selected="0">
            <x v="6"/>
          </reference>
        </references>
      </pivotArea>
    </chartFormat>
    <chartFormat chart="29" format="3">
      <pivotArea type="data" outline="0" fieldPosition="0">
        <references count="2">
          <reference field="4294967294" count="1" selected="0">
            <x v="0"/>
          </reference>
          <reference field="3" count="1" selected="0">
            <x v="0"/>
          </reference>
        </references>
      </pivotArea>
    </chartFormat>
    <chartFormat chart="29" format="4">
      <pivotArea type="data" outline="0" fieldPosition="0">
        <references count="2">
          <reference field="4294967294" count="1" selected="0">
            <x v="0"/>
          </reference>
          <reference field="3" count="1" selected="0">
            <x v="1"/>
          </reference>
        </references>
      </pivotArea>
    </chartFormat>
    <chartFormat chart="29" format="5">
      <pivotArea type="data" outline="0" fieldPosition="0">
        <references count="2">
          <reference field="4294967294" count="1" selected="0">
            <x v="0"/>
          </reference>
          <reference field="3" count="1" selected="0">
            <x v="2"/>
          </reference>
        </references>
      </pivotArea>
    </chartFormat>
    <chartFormat chart="29" format="6">
      <pivotArea type="data" outline="0" fieldPosition="0">
        <references count="2">
          <reference field="4294967294" count="1" selected="0">
            <x v="0"/>
          </reference>
          <reference field="3" count="1" selected="0">
            <x v="3"/>
          </reference>
        </references>
      </pivotArea>
    </chartFormat>
    <chartFormat chart="29" format="7">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839EB4-3661-40B6-8DD4-D9DED6B1EF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B9"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showAll="0"/>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Total Sales" fld="7" baseField="0" baseItem="0" numFmtId="164"/>
  </dataFields>
  <chartFormats count="15">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1"/>
          </reference>
        </references>
      </pivotArea>
    </chartFormat>
    <chartFormat chart="13" format="2">
      <pivotArea type="data" outline="0" fieldPosition="0">
        <references count="2">
          <reference field="4294967294" count="1" selected="0">
            <x v="0"/>
          </reference>
          <reference field="2" count="1" selected="0">
            <x v="2"/>
          </reference>
        </references>
      </pivotArea>
    </chartFormat>
    <chartFormat chart="13" format="3">
      <pivotArea type="data" outline="0" fieldPosition="0">
        <references count="2">
          <reference field="4294967294" count="1" selected="0">
            <x v="0"/>
          </reference>
          <reference field="2" count="1" selected="0">
            <x v="3"/>
          </reference>
        </references>
      </pivotArea>
    </chartFormat>
    <chartFormat chart="13" format="4">
      <pivotArea type="data" outline="0" fieldPosition="0">
        <references count="2">
          <reference field="4294967294" count="1" selected="0">
            <x v="0"/>
          </reference>
          <reference field="2" count="1" selected="0">
            <x v="0"/>
          </reference>
        </references>
      </pivotArea>
    </chartFormat>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2" count="1" selected="0">
            <x v="0"/>
          </reference>
        </references>
      </pivotArea>
    </chartFormat>
    <chartFormat chart="16" format="12">
      <pivotArea type="data" outline="0" fieldPosition="0">
        <references count="2">
          <reference field="4294967294" count="1" selected="0">
            <x v="0"/>
          </reference>
          <reference field="2" count="1" selected="0">
            <x v="1"/>
          </reference>
        </references>
      </pivotArea>
    </chartFormat>
    <chartFormat chart="16" format="13">
      <pivotArea type="data" outline="0" fieldPosition="0">
        <references count="2">
          <reference field="4294967294" count="1" selected="0">
            <x v="0"/>
          </reference>
          <reference field="2" count="1" selected="0">
            <x v="2"/>
          </reference>
        </references>
      </pivotArea>
    </chartFormat>
    <chartFormat chart="16" format="14">
      <pivotArea type="data" outline="0" fieldPosition="0">
        <references count="2">
          <reference field="4294967294" count="1" selected="0">
            <x v="0"/>
          </reference>
          <reference field="2" count="1" selected="0">
            <x v="3"/>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2" count="1" selected="0">
            <x v="0"/>
          </reference>
        </references>
      </pivotArea>
    </chartFormat>
    <chartFormat chart="19" format="22">
      <pivotArea type="data" outline="0" fieldPosition="0">
        <references count="2">
          <reference field="4294967294" count="1" selected="0">
            <x v="0"/>
          </reference>
          <reference field="2" count="1" selected="0">
            <x v="1"/>
          </reference>
        </references>
      </pivotArea>
    </chartFormat>
    <chartFormat chart="19" format="23">
      <pivotArea type="data" outline="0" fieldPosition="0">
        <references count="2">
          <reference field="4294967294" count="1" selected="0">
            <x v="0"/>
          </reference>
          <reference field="2" count="1" selected="0">
            <x v="2"/>
          </reference>
        </references>
      </pivotArea>
    </chartFormat>
    <chartFormat chart="19"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8E571-7F27-4D47-90F0-5FCED849286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8">
  <location ref="A3:B14" firstHeaderRow="1" firstDataRow="1" firstDataCol="1"/>
  <pivotFields count="12">
    <pivotField numFmtId="14" showAll="0">
      <items count="48">
        <item x="46"/>
        <item x="32"/>
        <item x="25"/>
        <item x="20"/>
        <item x="34"/>
        <item x="18"/>
        <item x="37"/>
        <item x="16"/>
        <item x="11"/>
        <item x="3"/>
        <item x="30"/>
        <item x="5"/>
        <item x="36"/>
        <item x="13"/>
        <item x="31"/>
        <item x="7"/>
        <item x="28"/>
        <item x="44"/>
        <item x="41"/>
        <item x="8"/>
        <item x="2"/>
        <item x="42"/>
        <item x="0"/>
        <item x="14"/>
        <item x="19"/>
        <item x="39"/>
        <item x="40"/>
        <item x="15"/>
        <item x="35"/>
        <item x="12"/>
        <item x="29"/>
        <item x="6"/>
        <item x="22"/>
        <item x="17"/>
        <item x="24"/>
        <item x="38"/>
        <item x="9"/>
        <item x="1"/>
        <item x="26"/>
        <item x="4"/>
        <item x="10"/>
        <item x="27"/>
        <item x="45"/>
        <item x="43"/>
        <item x="23"/>
        <item x="33"/>
        <item x="21"/>
        <item t="default"/>
      </items>
    </pivotField>
    <pivotField axis="axisRow" showAll="0">
      <items count="11">
        <item x="0"/>
        <item x="8"/>
        <item x="3"/>
        <item x="5"/>
        <item x="7"/>
        <item x="2"/>
        <item x="1"/>
        <item x="4"/>
        <item x="9"/>
        <item x="6"/>
        <item t="default"/>
      </items>
    </pivotField>
    <pivotField showAll="0"/>
    <pivotField showAll="0"/>
    <pivotField dataField="1" showAll="0"/>
    <pivotField numFmtId="164" showAll="0"/>
    <pivotField numFmtId="164" showAll="0"/>
    <pivotField numFmtId="164" showAll="0"/>
    <pivotField numFmtId="164" showAll="0"/>
    <pivotField showAll="0" defaultSubtotal="0"/>
    <pivotField showAll="0" defaultSubtotal="0"/>
    <pivotField showAll="0" defaultSubtotal="0">
      <items count="4">
        <item x="0"/>
        <item x="1"/>
        <item x="2"/>
        <item x="3"/>
      </items>
    </pivotField>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chartFormats count="5">
    <chartFormat chart="84" format="0" series="1">
      <pivotArea type="data" outline="0" fieldPosition="0">
        <references count="1">
          <reference field="4294967294" count="1" selected="0">
            <x v="0"/>
          </reference>
        </references>
      </pivotArea>
    </chartFormat>
    <chartFormat chart="84" format="1">
      <pivotArea type="data" outline="0" fieldPosition="0">
        <references count="2">
          <reference field="4294967294" count="1" selected="0">
            <x v="0"/>
          </reference>
          <reference field="1" count="1" selected="0">
            <x v="1"/>
          </reference>
        </references>
      </pivotArea>
    </chartFormat>
    <chartFormat chart="90" format="4" series="1">
      <pivotArea type="data" outline="0" fieldPosition="0">
        <references count="1">
          <reference field="4294967294" count="1" selected="0">
            <x v="0"/>
          </reference>
        </references>
      </pivotArea>
    </chartFormat>
    <chartFormat chart="91" format="5" series="1">
      <pivotArea type="data" outline="0" fieldPosition="0">
        <references count="1">
          <reference field="4294967294" count="1" selected="0">
            <x v="0"/>
          </reference>
        </references>
      </pivotArea>
    </chartFormat>
    <chartFormat chart="9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FA7702E-DD05-47BE-94E5-1054E91D98A8}" sourceName="Date">
  <data>
    <tabular pivotCacheId="1570013405">
      <items count="47">
        <i x="46" s="1"/>
        <i x="32" s="1"/>
        <i x="25" s="1"/>
        <i x="20" s="1"/>
        <i x="34" s="1"/>
        <i x="18" s="1"/>
        <i x="37" s="1"/>
        <i x="16" s="1"/>
        <i x="11" s="1"/>
        <i x="3" s="1"/>
        <i x="30" s="1"/>
        <i x="5" s="1"/>
        <i x="36" s="1"/>
        <i x="13" s="1"/>
        <i x="31" s="1"/>
        <i x="7" s="1"/>
        <i x="28" s="1"/>
        <i x="44" s="1"/>
        <i x="41" s="1"/>
        <i x="8" s="1"/>
        <i x="2" s="1"/>
        <i x="42" s="1"/>
        <i x="0" s="1"/>
        <i x="14" s="1"/>
        <i x="19" s="1"/>
        <i x="39" s="1"/>
        <i x="40" s="1"/>
        <i x="15" s="1"/>
        <i x="35" s="1"/>
        <i x="12" s="1"/>
        <i x="29" s="1"/>
        <i x="6" s="1"/>
        <i x="22" s="1"/>
        <i x="17" s="1"/>
        <i x="24" s="1"/>
        <i x="38" s="1"/>
        <i x="9" s="1"/>
        <i x="1" s="1"/>
        <i x="26" s="1"/>
        <i x="4" s="1"/>
        <i x="10" s="1"/>
        <i x="27" s="1"/>
        <i x="45" s="1"/>
        <i x="43" s="1"/>
        <i x="23" s="1"/>
        <i x="33" s="1"/>
        <i x="2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FF0A93A-FAED-4BD4-9FB8-A0BF02980E6E}" sourceName="Product">
  <pivotTables>
    <pivotTable tabId="5" name="product"/>
    <pivotTable tabId="5" name="PivotTable4"/>
    <pivotTable tabId="6" name="PivotTable8"/>
  </pivotTables>
  <data>
    <tabular pivotCacheId="1570013405">
      <items count="7">
        <i x="2" s="1"/>
        <i x="1" s="1"/>
        <i x="5"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5E85BA8-49DF-4126-AF8B-717ACBE18E27}" sourceName="Sales Person">
  <pivotTables>
    <pivotTable tabId="8" name="PivotTable11"/>
  </pivotTables>
  <data>
    <tabular pivotCacheId="1570013405">
      <items count="10">
        <i x="0" s="1"/>
        <i x="8" s="1"/>
        <i x="3" s="1"/>
        <i x="5" s="1"/>
        <i x="7" s="1"/>
        <i x="2" s="1"/>
        <i x="1" s="1"/>
        <i x="4" s="1"/>
        <i x="9"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73257D7-BBB8-4C29-89E6-072C6B2468D0}" sourceName="Region">
  <pivotTables>
    <pivotTable tabId="6" name="PivotTable8"/>
    <pivotTable tabId="5" name="product"/>
  </pivotTables>
  <data>
    <tabular pivotCacheId="1570013405">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00B3FCC-F1F9-4D79-9527-EF89CF9D209B}" cache="Slicer_Product" caption="Product" startItem="2" rowHeight="540000"/>
  <slicer name="Sales Person 1" xr10:uid="{8E3C68DC-A176-444F-9480-6954B52B60FC}" cache="Slicer_Sales_Person" caption="Sales Person" rowHeight="756000"/>
  <slicer name="Region 1" xr10:uid="{706DFF28-E602-4273-881F-53D8C653A0D6}" cache="Slicer_Region1" caption="Region" columnCount="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79BD62DB-3CF8-42D8-8C21-C1218EC2C80B}" cache="Slicer_Date" caption="Date" startItem="40" rowHeight="247650"/>
  <slicer name="Product" xr10:uid="{7B6A4489-5CEF-4CB7-AB9F-DEE04E4A26F4}" cache="Slicer_Product" caption="Product" rowHeight="247650"/>
  <slicer name="Region" xr10:uid="{6BB6DFAA-182C-49DD-9C92-0B0B4328B831}" cache="Slicer_Region1" caption="Regi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EE26C93A-3C99-4A4A-90F2-B15CEBFE04FA}" cache="Slicer_Product" caption="Product" startItem="2" rowHeight="540000"/>
  <slicer name="Sales Person 2" xr10:uid="{E705E7F8-AE38-4B96-8329-F778C755950C}" cache="Slicer_Sales_Person" caption="Sales Person" startItem="3" rowHeight="756000"/>
  <slicer name="Region 2" xr10:uid="{E4FB0A07-AE3B-4D3A-A5D3-EC8533B56AC5}" cache="Slicer_Region1" caption="Region" columnCount="2" rowHeight="252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77D99BC9-343C-49AE-8774-E6331728CB0D}" cache="Slicer_Sales_Person" caption="Sales Person"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B063EB-E46D-418E-AA8B-B4FD02C197E3}" name="Table1" displayName="Table1" ref="A1:I51" totalsRowShown="0" headerRowDxfId="8" dataDxfId="6" headerRowBorderDxfId="7" dataCellStyle="Currency [0]">
  <autoFilter ref="A1:I51" xr:uid="{F7B063EB-E46D-418E-AA8B-B4FD02C197E3}"/>
  <tableColumns count="9">
    <tableColumn id="1" xr3:uid="{5094D831-C988-4976-97EF-4815C00259F7}" name="Date" dataDxfId="5"/>
    <tableColumn id="2" xr3:uid="{B104FC03-FFB6-4975-BD70-5265B0E2885F}" name="Sales Person"/>
    <tableColumn id="3" xr3:uid="{C4E6301B-0E17-4095-A4D5-F1894B4ECECE}" name="Region"/>
    <tableColumn id="4" xr3:uid="{8843BFE4-ABE4-4CED-A80F-8272B09B0D16}" name="Product"/>
    <tableColumn id="5" xr3:uid="{D3ACB2E0-9B8A-4811-9637-6C36304460FC}" name="Units Sold" dataDxfId="4"/>
    <tableColumn id="6" xr3:uid="{AB3851BD-33BE-41AC-8D14-F09E5BEACEDA}" name="Unit Price" dataDxfId="3" dataCellStyle="Currency [0]">
      <calculatedColumnFormula>IF(D2="Tent",6000,IF(D2="Blender",3500,IF(D2="Action Figure",1200,IF(D2="Novel",1000,IF(D2="Sneakers",4000,IF(D2="Smartphone",10000,IF(D2="moisturizer",600,"No Product Found")))))))</calculatedColumnFormula>
    </tableColumn>
    <tableColumn id="7" xr3:uid="{143FDABC-F464-4C71-9A95-E7537C4A9E01}" name="Cost of Goods" dataDxfId="2" dataCellStyle="Currency [0]">
      <calculatedColumnFormula>IF(D2="Tent",4000,IF(D2="Blender",2500,IF(D2="Action Figure",800,IF(D2="Novel",700,IF(D2="Sneakers",3000,IF(D2="Smartphone",7000,IF(D2="moisturizer",400,"No Product Found")))))))</calculatedColumnFormula>
    </tableColumn>
    <tableColumn id="8" xr3:uid="{D07656CF-EC99-4BCF-B0C3-2C6347477B0C}" name="Total Sales" dataDxfId="1" dataCellStyle="Currency [0]">
      <calculatedColumnFormula>F2*E2</calculatedColumnFormula>
    </tableColumn>
    <tableColumn id="9" xr3:uid="{316AD7E3-BFE9-42CD-9613-6CB4C7E011F1}" name="Profit" dataDxfId="0">
      <calculatedColumnFormula>H2-(E2*G2)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2.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topLeftCell="A2" workbookViewId="0">
      <selection activeCell="A4" sqref="A2:I51"/>
    </sheetView>
  </sheetViews>
  <sheetFormatPr defaultRowHeight="14.4" x14ac:dyDescent="0.3"/>
  <cols>
    <col min="1" max="1" width="12.88671875" customWidth="1"/>
    <col min="2" max="2" width="13.44140625" customWidth="1"/>
    <col min="4" max="4" width="15.6640625" customWidth="1"/>
    <col min="5" max="5" width="11.33203125" customWidth="1"/>
    <col min="6" max="6" width="11" customWidth="1"/>
    <col min="7" max="7" width="14.21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1" t="s">
        <v>29</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5">
        <f>H2-(E2*G2)</f>
        <v>168000</v>
      </c>
    </row>
    <row r="3" spans="1:11" ht="15" thickBot="1" x14ac:dyDescent="0.35">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5">
        <f t="shared" ref="I3:I51" si="3">H3-(E3*G3)</f>
        <v>128000</v>
      </c>
      <c r="K3" s="1" t="s">
        <v>30</v>
      </c>
    </row>
    <row r="4" spans="1:11" ht="15" thickTop="1" x14ac:dyDescent="0.3">
      <c r="A4" s="2">
        <v>44230</v>
      </c>
      <c r="B4" t="s">
        <v>14</v>
      </c>
      <c r="C4" t="s">
        <v>15</v>
      </c>
      <c r="D4" t="s">
        <v>16</v>
      </c>
      <c r="E4" s="3">
        <v>136</v>
      </c>
      <c r="F4" s="4">
        <f t="shared" si="0"/>
        <v>1200</v>
      </c>
      <c r="G4" s="4">
        <f t="shared" si="1"/>
        <v>800</v>
      </c>
      <c r="H4" s="4">
        <f t="shared" si="2"/>
        <v>163200</v>
      </c>
      <c r="I4" s="5">
        <f t="shared" si="3"/>
        <v>54400</v>
      </c>
      <c r="K4" s="5">
        <f>SUM(H2:H51)</f>
        <v>12944500</v>
      </c>
    </row>
    <row r="5" spans="1:11" x14ac:dyDescent="0.3">
      <c r="A5" s="2">
        <v>44085</v>
      </c>
      <c r="B5" t="s">
        <v>17</v>
      </c>
      <c r="C5" t="s">
        <v>18</v>
      </c>
      <c r="D5" t="s">
        <v>19</v>
      </c>
      <c r="E5" s="3">
        <v>91</v>
      </c>
      <c r="F5" s="4">
        <f t="shared" si="0"/>
        <v>1000</v>
      </c>
      <c r="G5" s="4">
        <f t="shared" si="1"/>
        <v>700</v>
      </c>
      <c r="H5" s="4">
        <f t="shared" si="2"/>
        <v>91000</v>
      </c>
      <c r="I5" s="5">
        <f t="shared" si="3"/>
        <v>27300</v>
      </c>
    </row>
    <row r="6" spans="1:11" ht="15" thickBot="1" x14ac:dyDescent="0.35">
      <c r="A6" s="2">
        <v>44462</v>
      </c>
      <c r="B6" t="s">
        <v>20</v>
      </c>
      <c r="C6" t="s">
        <v>9</v>
      </c>
      <c r="D6" t="s">
        <v>21</v>
      </c>
      <c r="E6" s="3">
        <v>110</v>
      </c>
      <c r="F6" s="4">
        <f t="shared" si="0"/>
        <v>4000</v>
      </c>
      <c r="G6" s="4">
        <f t="shared" si="1"/>
        <v>3000</v>
      </c>
      <c r="H6" s="4">
        <f t="shared" si="2"/>
        <v>440000</v>
      </c>
      <c r="I6" s="5">
        <f t="shared" si="3"/>
        <v>110000</v>
      </c>
      <c r="K6" s="1" t="s">
        <v>31</v>
      </c>
    </row>
    <row r="7" spans="1:11" ht="15" thickTop="1" x14ac:dyDescent="0.3">
      <c r="A7" s="2">
        <v>44105</v>
      </c>
      <c r="B7" t="s">
        <v>22</v>
      </c>
      <c r="C7" t="s">
        <v>12</v>
      </c>
      <c r="D7" t="s">
        <v>16</v>
      </c>
      <c r="E7" s="3">
        <v>51</v>
      </c>
      <c r="F7" s="4">
        <f t="shared" si="0"/>
        <v>1200</v>
      </c>
      <c r="G7" s="4">
        <f t="shared" si="1"/>
        <v>800</v>
      </c>
      <c r="H7" s="4">
        <f t="shared" si="2"/>
        <v>61200</v>
      </c>
      <c r="I7" s="5">
        <f t="shared" si="3"/>
        <v>20400</v>
      </c>
      <c r="K7">
        <f>SUM(E2:E51)</f>
        <v>4705</v>
      </c>
    </row>
    <row r="8" spans="1:11" x14ac:dyDescent="0.3">
      <c r="A8" s="2">
        <v>44413</v>
      </c>
      <c r="B8" t="s">
        <v>23</v>
      </c>
      <c r="C8" t="s">
        <v>18</v>
      </c>
      <c r="D8" t="s">
        <v>19</v>
      </c>
      <c r="E8" s="3">
        <v>78</v>
      </c>
      <c r="F8" s="4">
        <f t="shared" si="0"/>
        <v>1000</v>
      </c>
      <c r="G8" s="4">
        <f t="shared" si="1"/>
        <v>700</v>
      </c>
      <c r="H8" s="4">
        <f t="shared" si="2"/>
        <v>78000</v>
      </c>
      <c r="I8" s="5">
        <f t="shared" si="3"/>
        <v>23400</v>
      </c>
    </row>
    <row r="9" spans="1:11" ht="15" thickBot="1" x14ac:dyDescent="0.35">
      <c r="A9" s="2">
        <v>44141</v>
      </c>
      <c r="B9" t="s">
        <v>24</v>
      </c>
      <c r="C9" t="s">
        <v>15</v>
      </c>
      <c r="D9" t="s">
        <v>10</v>
      </c>
      <c r="E9" s="3">
        <v>146</v>
      </c>
      <c r="F9" s="4">
        <f t="shared" si="0"/>
        <v>6000</v>
      </c>
      <c r="G9" s="4">
        <f t="shared" si="1"/>
        <v>4000</v>
      </c>
      <c r="H9" s="4">
        <f t="shared" si="2"/>
        <v>876000</v>
      </c>
      <c r="I9" s="5">
        <f t="shared" si="3"/>
        <v>292000</v>
      </c>
      <c r="K9" s="1" t="s">
        <v>32</v>
      </c>
    </row>
    <row r="10" spans="1:11" ht="15" thickTop="1" x14ac:dyDescent="0.3">
      <c r="A10" s="2">
        <v>44223</v>
      </c>
      <c r="B10" t="s">
        <v>25</v>
      </c>
      <c r="C10" t="s">
        <v>9</v>
      </c>
      <c r="D10" t="s">
        <v>26</v>
      </c>
      <c r="E10" s="3">
        <v>101</v>
      </c>
      <c r="F10" s="4">
        <f t="shared" si="0"/>
        <v>600</v>
      </c>
      <c r="G10" s="4">
        <f t="shared" si="1"/>
        <v>400</v>
      </c>
      <c r="H10" s="4">
        <f t="shared" si="2"/>
        <v>60600</v>
      </c>
      <c r="I10" s="5">
        <f t="shared" si="3"/>
        <v>20200</v>
      </c>
      <c r="K10" s="5">
        <f>AVERAGE(H2:H51)</f>
        <v>258890</v>
      </c>
    </row>
    <row r="11" spans="1:11" x14ac:dyDescent="0.3">
      <c r="A11" s="2">
        <v>44442</v>
      </c>
      <c r="B11" t="s">
        <v>27</v>
      </c>
      <c r="C11" t="s">
        <v>15</v>
      </c>
      <c r="D11" t="s">
        <v>10</v>
      </c>
      <c r="E11" s="3">
        <v>52</v>
      </c>
      <c r="F11" s="4">
        <f t="shared" si="0"/>
        <v>6000</v>
      </c>
      <c r="G11" s="4">
        <f t="shared" si="1"/>
        <v>4000</v>
      </c>
      <c r="H11" s="4">
        <f t="shared" si="2"/>
        <v>312000</v>
      </c>
      <c r="I11" s="5">
        <f t="shared" si="3"/>
        <v>104000</v>
      </c>
    </row>
    <row r="12" spans="1:11" ht="15" thickBot="1" x14ac:dyDescent="0.35">
      <c r="A12" s="2">
        <v>44469</v>
      </c>
      <c r="B12" t="s">
        <v>27</v>
      </c>
      <c r="C12" t="s">
        <v>12</v>
      </c>
      <c r="D12" t="s">
        <v>16</v>
      </c>
      <c r="E12" s="3">
        <v>55</v>
      </c>
      <c r="F12" s="4">
        <f t="shared" si="0"/>
        <v>1200</v>
      </c>
      <c r="G12" s="4">
        <f t="shared" si="1"/>
        <v>800</v>
      </c>
      <c r="H12" s="4">
        <f t="shared" si="2"/>
        <v>66000</v>
      </c>
      <c r="I12" s="5">
        <f t="shared" si="3"/>
        <v>22000</v>
      </c>
      <c r="K12" s="1" t="s">
        <v>33</v>
      </c>
    </row>
    <row r="13" spans="1:11" ht="15" thickTop="1" x14ac:dyDescent="0.3">
      <c r="A13" s="2">
        <v>44084</v>
      </c>
      <c r="B13" t="s">
        <v>27</v>
      </c>
      <c r="C13" t="s">
        <v>15</v>
      </c>
      <c r="D13" t="s">
        <v>19</v>
      </c>
      <c r="E13" s="3">
        <v>137</v>
      </c>
      <c r="F13" s="4">
        <f t="shared" si="0"/>
        <v>1000</v>
      </c>
      <c r="G13" s="4">
        <f t="shared" si="1"/>
        <v>700</v>
      </c>
      <c r="H13" s="4">
        <f t="shared" si="2"/>
        <v>137000</v>
      </c>
      <c r="I13" s="5">
        <f t="shared" si="3"/>
        <v>41100</v>
      </c>
      <c r="K13" s="5">
        <f>SUM(I2:I51)</f>
        <v>3834400</v>
      </c>
    </row>
    <row r="14" spans="1:11" x14ac:dyDescent="0.3">
      <c r="A14" s="2">
        <v>44404</v>
      </c>
      <c r="B14" t="s">
        <v>24</v>
      </c>
      <c r="C14" t="s">
        <v>15</v>
      </c>
      <c r="D14" t="s">
        <v>13</v>
      </c>
      <c r="E14" s="3">
        <v>96</v>
      </c>
      <c r="F14" s="4">
        <f t="shared" si="0"/>
        <v>3500</v>
      </c>
      <c r="G14" s="4">
        <f t="shared" si="1"/>
        <v>2500</v>
      </c>
      <c r="H14" s="4">
        <f t="shared" si="2"/>
        <v>336000</v>
      </c>
      <c r="I14" s="5">
        <f t="shared" si="3"/>
        <v>96000</v>
      </c>
    </row>
    <row r="15" spans="1:11" x14ac:dyDescent="0.3">
      <c r="A15" s="2">
        <v>44113</v>
      </c>
      <c r="B15" t="s">
        <v>25</v>
      </c>
      <c r="C15" t="s">
        <v>12</v>
      </c>
      <c r="D15" t="s">
        <v>21</v>
      </c>
      <c r="E15" s="3">
        <v>52</v>
      </c>
      <c r="F15" s="4">
        <f t="shared" si="0"/>
        <v>4000</v>
      </c>
      <c r="G15" s="4">
        <f t="shared" si="1"/>
        <v>3000</v>
      </c>
      <c r="H15" s="4">
        <f t="shared" si="2"/>
        <v>208000</v>
      </c>
      <c r="I15" s="5">
        <f t="shared" si="3"/>
        <v>52000</v>
      </c>
    </row>
    <row r="16" spans="1:11" x14ac:dyDescent="0.3">
      <c r="A16" s="2">
        <v>44292</v>
      </c>
      <c r="B16" t="s">
        <v>17</v>
      </c>
      <c r="C16" t="s">
        <v>9</v>
      </c>
      <c r="D16" t="s">
        <v>13</v>
      </c>
      <c r="E16" s="3">
        <v>76</v>
      </c>
      <c r="F16" s="4">
        <f t="shared" si="0"/>
        <v>3500</v>
      </c>
      <c r="G16" s="4">
        <f t="shared" si="1"/>
        <v>2500</v>
      </c>
      <c r="H16" s="4">
        <f t="shared" si="2"/>
        <v>266000</v>
      </c>
      <c r="I16" s="5">
        <f t="shared" si="3"/>
        <v>76000</v>
      </c>
    </row>
    <row r="17" spans="1:9" x14ac:dyDescent="0.3">
      <c r="A17" s="2">
        <v>44362</v>
      </c>
      <c r="B17" t="s">
        <v>11</v>
      </c>
      <c r="C17" t="s">
        <v>18</v>
      </c>
      <c r="D17" t="s">
        <v>21</v>
      </c>
      <c r="E17" s="3">
        <v>145</v>
      </c>
      <c r="F17" s="4">
        <f t="shared" si="0"/>
        <v>4000</v>
      </c>
      <c r="G17" s="4">
        <f t="shared" si="1"/>
        <v>3000</v>
      </c>
      <c r="H17" s="4">
        <f t="shared" si="2"/>
        <v>580000</v>
      </c>
      <c r="I17" s="5">
        <f t="shared" si="3"/>
        <v>145000</v>
      </c>
    </row>
    <row r="18" spans="1:9" x14ac:dyDescent="0.3">
      <c r="A18" s="2">
        <v>44083</v>
      </c>
      <c r="B18" t="s">
        <v>8</v>
      </c>
      <c r="C18" t="s">
        <v>15</v>
      </c>
      <c r="D18" t="s">
        <v>26</v>
      </c>
      <c r="E18" s="3">
        <v>83</v>
      </c>
      <c r="F18" s="4">
        <f t="shared" si="0"/>
        <v>600</v>
      </c>
      <c r="G18" s="4">
        <f t="shared" si="1"/>
        <v>400</v>
      </c>
      <c r="H18" s="4">
        <f t="shared" si="2"/>
        <v>49800</v>
      </c>
      <c r="I18" s="5">
        <f t="shared" si="3"/>
        <v>16600</v>
      </c>
    </row>
    <row r="19" spans="1:9" x14ac:dyDescent="0.3">
      <c r="A19" s="2">
        <v>44421</v>
      </c>
      <c r="B19" t="s">
        <v>20</v>
      </c>
      <c r="C19" t="s">
        <v>15</v>
      </c>
      <c r="D19" t="s">
        <v>19</v>
      </c>
      <c r="E19" s="3">
        <v>91</v>
      </c>
      <c r="F19" s="4">
        <f t="shared" si="0"/>
        <v>1000</v>
      </c>
      <c r="G19" s="4">
        <f t="shared" si="1"/>
        <v>700</v>
      </c>
      <c r="H19" s="4">
        <f t="shared" si="2"/>
        <v>91000</v>
      </c>
      <c r="I19" s="5">
        <f t="shared" si="3"/>
        <v>27300</v>
      </c>
    </row>
    <row r="20" spans="1:9" x14ac:dyDescent="0.3">
      <c r="A20" s="2">
        <v>44070</v>
      </c>
      <c r="B20" t="s">
        <v>22</v>
      </c>
      <c r="C20" t="s">
        <v>9</v>
      </c>
      <c r="D20" t="s">
        <v>28</v>
      </c>
      <c r="E20" s="3">
        <v>108</v>
      </c>
      <c r="F20" s="4">
        <f t="shared" si="0"/>
        <v>10000</v>
      </c>
      <c r="G20" s="4">
        <f t="shared" si="1"/>
        <v>7000</v>
      </c>
      <c r="H20" s="4">
        <f t="shared" si="2"/>
        <v>1080000</v>
      </c>
      <c r="I20" s="5">
        <f t="shared" si="3"/>
        <v>324000</v>
      </c>
    </row>
    <row r="21" spans="1:9" x14ac:dyDescent="0.3">
      <c r="A21" s="2">
        <v>44293</v>
      </c>
      <c r="B21" t="s">
        <v>14</v>
      </c>
      <c r="C21" t="s">
        <v>18</v>
      </c>
      <c r="D21" t="s">
        <v>21</v>
      </c>
      <c r="E21" s="3">
        <v>144</v>
      </c>
      <c r="F21" s="4">
        <f t="shared" si="0"/>
        <v>4000</v>
      </c>
      <c r="G21" s="4">
        <f t="shared" si="1"/>
        <v>3000</v>
      </c>
      <c r="H21" s="4">
        <f t="shared" si="2"/>
        <v>576000</v>
      </c>
      <c r="I21" s="5">
        <f t="shared" si="3"/>
        <v>144000</v>
      </c>
    </row>
    <row r="22" spans="1:9" x14ac:dyDescent="0.3">
      <c r="A22" s="2">
        <v>43990</v>
      </c>
      <c r="B22" t="s">
        <v>20</v>
      </c>
      <c r="C22" t="s">
        <v>15</v>
      </c>
      <c r="D22" t="s">
        <v>26</v>
      </c>
      <c r="E22" s="3">
        <v>92</v>
      </c>
      <c r="F22" s="4">
        <f t="shared" si="0"/>
        <v>600</v>
      </c>
      <c r="G22" s="4">
        <f t="shared" si="1"/>
        <v>400</v>
      </c>
      <c r="H22" s="4">
        <f t="shared" si="2"/>
        <v>55200</v>
      </c>
      <c r="I22" s="5">
        <f t="shared" si="3"/>
        <v>18400</v>
      </c>
    </row>
    <row r="23" spans="1:9" x14ac:dyDescent="0.3">
      <c r="A23" s="2">
        <v>44551</v>
      </c>
      <c r="B23" t="s">
        <v>24</v>
      </c>
      <c r="C23" t="s">
        <v>9</v>
      </c>
      <c r="D23" t="s">
        <v>10</v>
      </c>
      <c r="E23" s="3">
        <v>71</v>
      </c>
      <c r="F23" s="4">
        <f t="shared" si="0"/>
        <v>6000</v>
      </c>
      <c r="G23" s="4">
        <f t="shared" si="1"/>
        <v>4000</v>
      </c>
      <c r="H23" s="4">
        <f t="shared" si="2"/>
        <v>426000</v>
      </c>
      <c r="I23" s="5">
        <f t="shared" si="3"/>
        <v>142000</v>
      </c>
    </row>
    <row r="24" spans="1:9" x14ac:dyDescent="0.3">
      <c r="A24" s="2">
        <v>44418</v>
      </c>
      <c r="B24" t="s">
        <v>8</v>
      </c>
      <c r="C24" t="s">
        <v>12</v>
      </c>
      <c r="D24" t="s">
        <v>26</v>
      </c>
      <c r="E24" s="3">
        <v>103</v>
      </c>
      <c r="F24" s="4">
        <f t="shared" si="0"/>
        <v>600</v>
      </c>
      <c r="G24" s="4">
        <f t="shared" si="1"/>
        <v>400</v>
      </c>
      <c r="H24" s="4">
        <f t="shared" si="2"/>
        <v>61800</v>
      </c>
      <c r="I24" s="5">
        <f t="shared" si="3"/>
        <v>20600</v>
      </c>
    </row>
    <row r="25" spans="1:9" x14ac:dyDescent="0.3">
      <c r="A25" s="2">
        <v>44532</v>
      </c>
      <c r="B25" t="s">
        <v>27</v>
      </c>
      <c r="C25" t="s">
        <v>18</v>
      </c>
      <c r="D25" t="s">
        <v>19</v>
      </c>
      <c r="E25" s="3">
        <v>55</v>
      </c>
      <c r="F25" s="4">
        <f t="shared" si="0"/>
        <v>1000</v>
      </c>
      <c r="G25" s="4">
        <f t="shared" si="1"/>
        <v>700</v>
      </c>
      <c r="H25" s="4">
        <f t="shared" si="2"/>
        <v>55000</v>
      </c>
      <c r="I25" s="5">
        <f t="shared" si="3"/>
        <v>16500</v>
      </c>
    </row>
    <row r="26" spans="1:9" x14ac:dyDescent="0.3">
      <c r="A26" s="2">
        <v>44438</v>
      </c>
      <c r="B26" t="s">
        <v>22</v>
      </c>
      <c r="C26" t="s">
        <v>12</v>
      </c>
      <c r="D26" t="s">
        <v>21</v>
      </c>
      <c r="E26" s="3">
        <v>93</v>
      </c>
      <c r="F26" s="4">
        <f t="shared" si="0"/>
        <v>4000</v>
      </c>
      <c r="G26" s="4">
        <f t="shared" si="1"/>
        <v>3000</v>
      </c>
      <c r="H26" s="4">
        <f t="shared" si="2"/>
        <v>372000</v>
      </c>
      <c r="I26" s="5">
        <f t="shared" si="3"/>
        <v>93000</v>
      </c>
    </row>
    <row r="27" spans="1:9" x14ac:dyDescent="0.3">
      <c r="A27" s="2">
        <v>43971</v>
      </c>
      <c r="B27" t="s">
        <v>14</v>
      </c>
      <c r="C27" t="s">
        <v>15</v>
      </c>
      <c r="D27" t="s">
        <v>26</v>
      </c>
      <c r="E27" s="3">
        <v>143</v>
      </c>
      <c r="F27" s="4">
        <f t="shared" si="0"/>
        <v>600</v>
      </c>
      <c r="G27" s="4">
        <f t="shared" si="1"/>
        <v>400</v>
      </c>
      <c r="H27" s="4">
        <f t="shared" si="2"/>
        <v>85800</v>
      </c>
      <c r="I27" s="5">
        <f t="shared" si="3"/>
        <v>28600</v>
      </c>
    </row>
    <row r="28" spans="1:9" x14ac:dyDescent="0.3">
      <c r="A28" s="2">
        <v>44452</v>
      </c>
      <c r="B28" t="s">
        <v>23</v>
      </c>
      <c r="C28" t="s">
        <v>9</v>
      </c>
      <c r="D28" t="s">
        <v>13</v>
      </c>
      <c r="E28" s="3">
        <v>143</v>
      </c>
      <c r="F28" s="4">
        <f t="shared" si="0"/>
        <v>3500</v>
      </c>
      <c r="G28" s="4">
        <f t="shared" si="1"/>
        <v>2500</v>
      </c>
      <c r="H28" s="4">
        <f t="shared" si="2"/>
        <v>500500</v>
      </c>
      <c r="I28" s="5">
        <f t="shared" si="3"/>
        <v>143000</v>
      </c>
    </row>
    <row r="29" spans="1:9" x14ac:dyDescent="0.3">
      <c r="A29" s="2">
        <v>44496</v>
      </c>
      <c r="B29" t="s">
        <v>25</v>
      </c>
      <c r="C29" t="s">
        <v>18</v>
      </c>
      <c r="D29" t="s">
        <v>26</v>
      </c>
      <c r="E29" s="3">
        <v>99</v>
      </c>
      <c r="F29" s="4">
        <f t="shared" si="0"/>
        <v>600</v>
      </c>
      <c r="G29" s="4">
        <f t="shared" si="1"/>
        <v>400</v>
      </c>
      <c r="H29" s="4">
        <f t="shared" si="2"/>
        <v>59400</v>
      </c>
      <c r="I29" s="5">
        <f t="shared" si="3"/>
        <v>19800</v>
      </c>
    </row>
    <row r="30" spans="1:9" x14ac:dyDescent="0.3">
      <c r="A30" s="2">
        <v>44187</v>
      </c>
      <c r="B30" t="s">
        <v>17</v>
      </c>
      <c r="C30" t="s">
        <v>9</v>
      </c>
      <c r="D30" t="s">
        <v>19</v>
      </c>
      <c r="E30" s="3">
        <v>120</v>
      </c>
      <c r="F30" s="4">
        <f t="shared" si="0"/>
        <v>1000</v>
      </c>
      <c r="G30" s="4">
        <f t="shared" si="1"/>
        <v>700</v>
      </c>
      <c r="H30" s="4">
        <f t="shared" si="2"/>
        <v>120000</v>
      </c>
      <c r="I30" s="5">
        <f t="shared" si="3"/>
        <v>36000</v>
      </c>
    </row>
    <row r="31" spans="1:9" x14ac:dyDescent="0.3">
      <c r="A31" s="2">
        <v>44405</v>
      </c>
      <c r="B31" t="s">
        <v>11</v>
      </c>
      <c r="C31" t="s">
        <v>15</v>
      </c>
      <c r="D31" t="s">
        <v>13</v>
      </c>
      <c r="E31" s="3">
        <v>66</v>
      </c>
      <c r="F31" s="4">
        <f t="shared" si="0"/>
        <v>3500</v>
      </c>
      <c r="G31" s="4">
        <f t="shared" si="1"/>
        <v>2500</v>
      </c>
      <c r="H31" s="4">
        <f t="shared" si="2"/>
        <v>231000</v>
      </c>
      <c r="I31" s="5">
        <f t="shared" si="3"/>
        <v>66000</v>
      </c>
    </row>
    <row r="32" spans="1:9" x14ac:dyDescent="0.3">
      <c r="A32" s="2">
        <v>44103</v>
      </c>
      <c r="B32" t="s">
        <v>25</v>
      </c>
      <c r="C32" t="s">
        <v>18</v>
      </c>
      <c r="D32" t="s">
        <v>16</v>
      </c>
      <c r="E32" s="3">
        <v>88</v>
      </c>
      <c r="F32" s="4">
        <f t="shared" si="0"/>
        <v>1200</v>
      </c>
      <c r="G32" s="4">
        <f t="shared" si="1"/>
        <v>800</v>
      </c>
      <c r="H32" s="4">
        <f t="shared" si="2"/>
        <v>105600</v>
      </c>
      <c r="I32" s="5">
        <f t="shared" si="3"/>
        <v>35200</v>
      </c>
    </row>
    <row r="33" spans="1:9" x14ac:dyDescent="0.3">
      <c r="A33" s="2">
        <v>44126</v>
      </c>
      <c r="B33" t="s">
        <v>17</v>
      </c>
      <c r="C33" t="s">
        <v>12</v>
      </c>
      <c r="D33" t="s">
        <v>28</v>
      </c>
      <c r="E33" s="3">
        <v>127</v>
      </c>
      <c r="F33" s="4">
        <f t="shared" si="0"/>
        <v>10000</v>
      </c>
      <c r="G33" s="4">
        <f t="shared" si="1"/>
        <v>7000</v>
      </c>
      <c r="H33" s="4">
        <f t="shared" si="2"/>
        <v>1270000</v>
      </c>
      <c r="I33" s="5">
        <f t="shared" si="3"/>
        <v>381000</v>
      </c>
    </row>
    <row r="34" spans="1:9" x14ac:dyDescent="0.3">
      <c r="A34" s="2">
        <v>43970</v>
      </c>
      <c r="B34" t="s">
        <v>20</v>
      </c>
      <c r="C34" t="s">
        <v>9</v>
      </c>
      <c r="D34" t="s">
        <v>21</v>
      </c>
      <c r="E34" s="3">
        <v>67</v>
      </c>
      <c r="F34" s="4">
        <f t="shared" si="0"/>
        <v>4000</v>
      </c>
      <c r="G34" s="4">
        <f t="shared" si="1"/>
        <v>3000</v>
      </c>
      <c r="H34" s="4">
        <f t="shared" si="2"/>
        <v>268000</v>
      </c>
      <c r="I34" s="5">
        <f t="shared" si="3"/>
        <v>67000</v>
      </c>
    </row>
    <row r="35" spans="1:9" x14ac:dyDescent="0.3">
      <c r="A35" s="2">
        <v>44536</v>
      </c>
      <c r="B35" t="s">
        <v>11</v>
      </c>
      <c r="C35" t="s">
        <v>12</v>
      </c>
      <c r="D35" t="s">
        <v>16</v>
      </c>
      <c r="E35" s="3">
        <v>67</v>
      </c>
      <c r="F35" s="4">
        <f t="shared" si="0"/>
        <v>1200</v>
      </c>
      <c r="G35" s="4">
        <f t="shared" si="1"/>
        <v>800</v>
      </c>
      <c r="H35" s="4">
        <f t="shared" si="2"/>
        <v>80400</v>
      </c>
      <c r="I35" s="5">
        <f t="shared" si="3"/>
        <v>26800</v>
      </c>
    </row>
    <row r="36" spans="1:9" x14ac:dyDescent="0.3">
      <c r="A36" s="2">
        <v>44069</v>
      </c>
      <c r="B36" t="s">
        <v>27</v>
      </c>
      <c r="C36" t="s">
        <v>15</v>
      </c>
      <c r="D36" t="s">
        <v>19</v>
      </c>
      <c r="E36" s="3">
        <v>149</v>
      </c>
      <c r="F36" s="4">
        <f t="shared" si="0"/>
        <v>1000</v>
      </c>
      <c r="G36" s="4">
        <f t="shared" si="1"/>
        <v>700</v>
      </c>
      <c r="H36" s="4">
        <f t="shared" si="2"/>
        <v>149000</v>
      </c>
      <c r="I36" s="5">
        <f t="shared" si="3"/>
        <v>44700</v>
      </c>
    </row>
    <row r="37" spans="1:9" x14ac:dyDescent="0.3">
      <c r="A37" s="2">
        <v>44378</v>
      </c>
      <c r="B37" t="s">
        <v>20</v>
      </c>
      <c r="C37" t="s">
        <v>18</v>
      </c>
      <c r="D37" t="s">
        <v>26</v>
      </c>
      <c r="E37" s="3">
        <v>104</v>
      </c>
      <c r="F37" s="4">
        <f t="shared" si="0"/>
        <v>600</v>
      </c>
      <c r="G37" s="4">
        <f t="shared" si="1"/>
        <v>400</v>
      </c>
      <c r="H37" s="4">
        <f t="shared" si="2"/>
        <v>62400</v>
      </c>
      <c r="I37" s="5">
        <f t="shared" si="3"/>
        <v>20800</v>
      </c>
    </row>
    <row r="38" spans="1:9" x14ac:dyDescent="0.3">
      <c r="A38" s="2">
        <v>44404</v>
      </c>
      <c r="B38" t="s">
        <v>24</v>
      </c>
      <c r="C38" t="s">
        <v>9</v>
      </c>
      <c r="D38" t="s">
        <v>26</v>
      </c>
      <c r="E38" s="3">
        <v>57</v>
      </c>
      <c r="F38" s="4">
        <f t="shared" si="0"/>
        <v>600</v>
      </c>
      <c r="G38" s="4">
        <f t="shared" si="1"/>
        <v>400</v>
      </c>
      <c r="H38" s="4">
        <f t="shared" si="2"/>
        <v>34200</v>
      </c>
      <c r="I38" s="5">
        <f t="shared" si="3"/>
        <v>11400</v>
      </c>
    </row>
    <row r="39" spans="1:9" x14ac:dyDescent="0.3">
      <c r="A39" s="2">
        <v>44109</v>
      </c>
      <c r="B39" t="s">
        <v>14</v>
      </c>
      <c r="C39" t="s">
        <v>12</v>
      </c>
      <c r="D39" t="s">
        <v>26</v>
      </c>
      <c r="E39" s="3">
        <v>90</v>
      </c>
      <c r="F39" s="4">
        <f t="shared" si="0"/>
        <v>600</v>
      </c>
      <c r="G39" s="4">
        <f t="shared" si="1"/>
        <v>400</v>
      </c>
      <c r="H39" s="4">
        <f t="shared" si="2"/>
        <v>54000</v>
      </c>
      <c r="I39" s="5">
        <f t="shared" si="3"/>
        <v>18000</v>
      </c>
    </row>
    <row r="40" spans="1:9" x14ac:dyDescent="0.3">
      <c r="A40" s="2">
        <v>44076</v>
      </c>
      <c r="B40" t="s">
        <v>22</v>
      </c>
      <c r="C40" t="s">
        <v>15</v>
      </c>
      <c r="D40" t="s">
        <v>26</v>
      </c>
      <c r="E40" s="3">
        <v>67</v>
      </c>
      <c r="F40" s="4">
        <f t="shared" si="0"/>
        <v>600</v>
      </c>
      <c r="G40" s="4">
        <f t="shared" si="1"/>
        <v>400</v>
      </c>
      <c r="H40" s="4">
        <f t="shared" si="2"/>
        <v>40200</v>
      </c>
      <c r="I40" s="5">
        <f t="shared" si="3"/>
        <v>13400</v>
      </c>
    </row>
    <row r="41" spans="1:9" x14ac:dyDescent="0.3">
      <c r="A41" s="2">
        <v>44441</v>
      </c>
      <c r="B41" t="s">
        <v>8</v>
      </c>
      <c r="C41" t="s">
        <v>18</v>
      </c>
      <c r="D41" t="s">
        <v>21</v>
      </c>
      <c r="E41" s="3">
        <v>127</v>
      </c>
      <c r="F41" s="4">
        <f t="shared" si="0"/>
        <v>4000</v>
      </c>
      <c r="G41" s="4">
        <f t="shared" si="1"/>
        <v>3000</v>
      </c>
      <c r="H41" s="4">
        <f t="shared" si="2"/>
        <v>508000</v>
      </c>
      <c r="I41" s="5">
        <f t="shared" si="3"/>
        <v>127000</v>
      </c>
    </row>
    <row r="42" spans="1:9" x14ac:dyDescent="0.3">
      <c r="A42" s="2">
        <v>44299</v>
      </c>
      <c r="B42" t="s">
        <v>22</v>
      </c>
      <c r="C42" t="s">
        <v>9</v>
      </c>
      <c r="D42" t="s">
        <v>19</v>
      </c>
      <c r="E42" s="3">
        <v>108</v>
      </c>
      <c r="F42" s="4">
        <f t="shared" si="0"/>
        <v>1000</v>
      </c>
      <c r="G42" s="4">
        <f t="shared" si="1"/>
        <v>700</v>
      </c>
      <c r="H42" s="4">
        <f t="shared" si="2"/>
        <v>108000</v>
      </c>
      <c r="I42" s="5">
        <f t="shared" si="3"/>
        <v>32400</v>
      </c>
    </row>
    <row r="43" spans="1:9" x14ac:dyDescent="0.3">
      <c r="A43" s="2">
        <v>44322</v>
      </c>
      <c r="B43" t="s">
        <v>14</v>
      </c>
      <c r="C43" t="s">
        <v>12</v>
      </c>
      <c r="D43" t="s">
        <v>13</v>
      </c>
      <c r="E43" s="3">
        <v>66</v>
      </c>
      <c r="F43" s="4">
        <f t="shared" si="0"/>
        <v>3500</v>
      </c>
      <c r="G43" s="4">
        <f t="shared" si="1"/>
        <v>2500</v>
      </c>
      <c r="H43" s="4">
        <f t="shared" si="2"/>
        <v>231000</v>
      </c>
      <c r="I43" s="5">
        <f t="shared" si="3"/>
        <v>66000</v>
      </c>
    </row>
    <row r="44" spans="1:9" x14ac:dyDescent="0.3">
      <c r="A44" s="2">
        <v>44211</v>
      </c>
      <c r="B44" t="s">
        <v>8</v>
      </c>
      <c r="C44" t="s">
        <v>18</v>
      </c>
      <c r="D44" t="s">
        <v>10</v>
      </c>
      <c r="E44" s="3">
        <v>78</v>
      </c>
      <c r="F44" s="4">
        <f t="shared" si="0"/>
        <v>6000</v>
      </c>
      <c r="G44" s="4">
        <f t="shared" si="1"/>
        <v>4000</v>
      </c>
      <c r="H44" s="4">
        <f t="shared" si="2"/>
        <v>468000</v>
      </c>
      <c r="I44" s="5">
        <f t="shared" si="3"/>
        <v>156000</v>
      </c>
    </row>
    <row r="45" spans="1:9" x14ac:dyDescent="0.3">
      <c r="A45" s="2">
        <v>44070</v>
      </c>
      <c r="B45" t="s">
        <v>24</v>
      </c>
      <c r="C45" t="s">
        <v>15</v>
      </c>
      <c r="D45" t="s">
        <v>19</v>
      </c>
      <c r="E45" s="3">
        <v>69</v>
      </c>
      <c r="F45" s="4">
        <f t="shared" si="0"/>
        <v>1000</v>
      </c>
      <c r="G45" s="4">
        <f t="shared" si="1"/>
        <v>700</v>
      </c>
      <c r="H45" s="4">
        <f t="shared" si="2"/>
        <v>69000</v>
      </c>
      <c r="I45" s="5">
        <f t="shared" si="3"/>
        <v>20700</v>
      </c>
    </row>
    <row r="46" spans="1:9" x14ac:dyDescent="0.3">
      <c r="A46" s="2">
        <v>44232</v>
      </c>
      <c r="B46" t="s">
        <v>20</v>
      </c>
      <c r="C46" t="s">
        <v>9</v>
      </c>
      <c r="D46" t="s">
        <v>16</v>
      </c>
      <c r="E46" s="3">
        <v>59</v>
      </c>
      <c r="F46" s="4">
        <f t="shared" si="0"/>
        <v>1200</v>
      </c>
      <c r="G46" s="4">
        <f t="shared" si="1"/>
        <v>800</v>
      </c>
      <c r="H46" s="4">
        <f t="shared" si="2"/>
        <v>70800</v>
      </c>
      <c r="I46" s="5">
        <f t="shared" si="3"/>
        <v>23600</v>
      </c>
    </row>
    <row r="47" spans="1:9" x14ac:dyDescent="0.3">
      <c r="A47" s="2">
        <v>44517</v>
      </c>
      <c r="B47" t="s">
        <v>27</v>
      </c>
      <c r="C47" t="s">
        <v>15</v>
      </c>
      <c r="D47" t="s">
        <v>26</v>
      </c>
      <c r="E47" s="3">
        <v>109</v>
      </c>
      <c r="F47" s="4">
        <f t="shared" si="0"/>
        <v>600</v>
      </c>
      <c r="G47" s="4">
        <f t="shared" si="1"/>
        <v>400</v>
      </c>
      <c r="H47" s="4">
        <f t="shared" si="2"/>
        <v>65400</v>
      </c>
      <c r="I47" s="5">
        <f t="shared" si="3"/>
        <v>21800</v>
      </c>
    </row>
    <row r="48" spans="1:9" x14ac:dyDescent="0.3">
      <c r="A48" s="2">
        <v>44193</v>
      </c>
      <c r="B48" t="s">
        <v>25</v>
      </c>
      <c r="C48" t="s">
        <v>12</v>
      </c>
      <c r="D48" t="s">
        <v>21</v>
      </c>
      <c r="E48" s="3">
        <v>61</v>
      </c>
      <c r="F48" s="4">
        <f t="shared" si="0"/>
        <v>4000</v>
      </c>
      <c r="G48" s="4">
        <f t="shared" si="1"/>
        <v>3000</v>
      </c>
      <c r="H48" s="4">
        <f t="shared" si="2"/>
        <v>244000</v>
      </c>
      <c r="I48" s="5">
        <f t="shared" si="3"/>
        <v>61000</v>
      </c>
    </row>
    <row r="49" spans="1:9" x14ac:dyDescent="0.3">
      <c r="A49" s="2">
        <v>44496</v>
      </c>
      <c r="B49" t="s">
        <v>20</v>
      </c>
      <c r="C49" t="s">
        <v>18</v>
      </c>
      <c r="D49" t="s">
        <v>26</v>
      </c>
      <c r="E49" s="3">
        <v>130</v>
      </c>
      <c r="F49" s="4">
        <f t="shared" si="0"/>
        <v>600</v>
      </c>
      <c r="G49" s="4">
        <f t="shared" si="1"/>
        <v>400</v>
      </c>
      <c r="H49" s="4">
        <f t="shared" si="2"/>
        <v>78000</v>
      </c>
      <c r="I49" s="5">
        <f t="shared" si="3"/>
        <v>26000</v>
      </c>
    </row>
    <row r="50" spans="1:9" x14ac:dyDescent="0.3">
      <c r="A50" s="2">
        <v>44502</v>
      </c>
      <c r="B50" t="s">
        <v>17</v>
      </c>
      <c r="C50" t="s">
        <v>15</v>
      </c>
      <c r="D50" t="s">
        <v>13</v>
      </c>
      <c r="E50" s="3">
        <v>60</v>
      </c>
      <c r="F50" s="4">
        <f t="shared" si="0"/>
        <v>3500</v>
      </c>
      <c r="G50" s="4">
        <f t="shared" si="1"/>
        <v>2500</v>
      </c>
      <c r="H50" s="4">
        <f t="shared" si="2"/>
        <v>210000</v>
      </c>
      <c r="I50" s="5">
        <f t="shared" si="3"/>
        <v>60000</v>
      </c>
    </row>
    <row r="51" spans="1:9" x14ac:dyDescent="0.3">
      <c r="A51" s="2">
        <v>43958</v>
      </c>
      <c r="B51" t="s">
        <v>11</v>
      </c>
      <c r="C51" t="s">
        <v>12</v>
      </c>
      <c r="D51" t="s">
        <v>10</v>
      </c>
      <c r="E51" s="3">
        <v>73</v>
      </c>
      <c r="F51" s="4">
        <f t="shared" si="0"/>
        <v>6000</v>
      </c>
      <c r="G51" s="4">
        <f t="shared" si="1"/>
        <v>4000</v>
      </c>
      <c r="H51" s="4">
        <f t="shared" si="2"/>
        <v>438000</v>
      </c>
      <c r="I51" s="5">
        <f t="shared" si="3"/>
        <v>146000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2AC2A-264B-4493-9B94-0C8A2F4067ED}">
  <sheetPr>
    <pageSetUpPr fitToPage="1"/>
  </sheetPr>
  <dimension ref="A1"/>
  <sheetViews>
    <sheetView showGridLines="0" showRowColHeaders="0" tabSelected="1" zoomScale="55" zoomScaleNormal="55" workbookViewId="0">
      <selection activeCell="AD29" sqref="AD29"/>
    </sheetView>
  </sheetViews>
  <sheetFormatPr defaultRowHeight="14.4" x14ac:dyDescent="0.3"/>
  <cols>
    <col min="12" max="12" width="8.88671875" customWidth="1"/>
  </cols>
  <sheetData/>
  <pageMargins left="0.70866141732283461" right="0.70866141732283461" top="0.74803149606299213" bottom="0.74803149606299213" header="0.31496062992125984" footer="0.31496062992125984"/>
  <pageSetup scale="52"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7720-FBBB-4B90-B5BC-D77C2A888C0C}">
  <dimension ref="A11:L43"/>
  <sheetViews>
    <sheetView workbookViewId="0">
      <selection activeCell="M37" sqref="M37"/>
    </sheetView>
  </sheetViews>
  <sheetFormatPr defaultRowHeight="14.4" x14ac:dyDescent="0.3"/>
  <cols>
    <col min="1" max="1" width="12.44140625" bestFit="1" customWidth="1"/>
    <col min="2" max="2" width="12.6640625" bestFit="1" customWidth="1"/>
    <col min="3" max="3" width="15.5546875" bestFit="1" customWidth="1"/>
    <col min="7" max="8" width="12.44140625" bestFit="1" customWidth="1"/>
    <col min="9" max="9" width="15.5546875" bestFit="1" customWidth="1"/>
    <col min="10" max="10" width="16.109375" bestFit="1" customWidth="1"/>
    <col min="11" max="11" width="12.44140625" bestFit="1" customWidth="1"/>
    <col min="12" max="12" width="16.109375" bestFit="1" customWidth="1"/>
  </cols>
  <sheetData>
    <row r="11" spans="11:12" x14ac:dyDescent="0.3">
      <c r="K11" s="6" t="s">
        <v>34</v>
      </c>
      <c r="L11" t="s">
        <v>38</v>
      </c>
    </row>
    <row r="12" spans="11:12" x14ac:dyDescent="0.3">
      <c r="K12" s="3" t="s">
        <v>8</v>
      </c>
      <c r="L12" s="5">
        <v>1591600</v>
      </c>
    </row>
    <row r="13" spans="11:12" x14ac:dyDescent="0.3">
      <c r="K13" s="3" t="s">
        <v>25</v>
      </c>
      <c r="L13" s="5">
        <v>677600</v>
      </c>
    </row>
    <row r="14" spans="11:12" x14ac:dyDescent="0.3">
      <c r="K14" s="3" t="s">
        <v>17</v>
      </c>
      <c r="L14" s="5">
        <v>1957000</v>
      </c>
    </row>
    <row r="15" spans="11:12" x14ac:dyDescent="0.3">
      <c r="K15" s="3" t="s">
        <v>22</v>
      </c>
      <c r="L15" s="5">
        <v>1661400</v>
      </c>
    </row>
    <row r="16" spans="11:12" x14ac:dyDescent="0.3">
      <c r="K16" s="3" t="s">
        <v>24</v>
      </c>
      <c r="L16" s="5">
        <v>1741200</v>
      </c>
    </row>
    <row r="17" spans="2:12" x14ac:dyDescent="0.3">
      <c r="B17" s="6" t="s">
        <v>34</v>
      </c>
      <c r="C17" t="s">
        <v>36</v>
      </c>
      <c r="K17" s="3" t="s">
        <v>14</v>
      </c>
      <c r="L17" s="5">
        <v>1110000</v>
      </c>
    </row>
    <row r="18" spans="2:12" x14ac:dyDescent="0.3">
      <c r="B18" s="3" t="s">
        <v>16</v>
      </c>
      <c r="C18">
        <v>456</v>
      </c>
      <c r="K18" s="3" t="s">
        <v>11</v>
      </c>
      <c r="L18" s="5">
        <v>1777400</v>
      </c>
    </row>
    <row r="19" spans="2:12" x14ac:dyDescent="0.3">
      <c r="B19" s="3" t="s">
        <v>13</v>
      </c>
      <c r="C19">
        <v>635</v>
      </c>
      <c r="K19" s="3" t="s">
        <v>20</v>
      </c>
      <c r="L19" s="5">
        <v>1065400</v>
      </c>
    </row>
    <row r="20" spans="2:12" x14ac:dyDescent="0.3">
      <c r="B20" s="3" t="s">
        <v>26</v>
      </c>
      <c r="C20">
        <v>1178</v>
      </c>
      <c r="K20" s="3" t="s">
        <v>27</v>
      </c>
      <c r="L20" s="5">
        <v>784400</v>
      </c>
    </row>
    <row r="21" spans="2:12" x14ac:dyDescent="0.3">
      <c r="B21" s="3" t="s">
        <v>19</v>
      </c>
      <c r="C21">
        <v>898</v>
      </c>
      <c r="K21" s="3" t="s">
        <v>23</v>
      </c>
      <c r="L21" s="5">
        <v>578500</v>
      </c>
    </row>
    <row r="22" spans="2:12" x14ac:dyDescent="0.3">
      <c r="B22" s="3" t="s">
        <v>28</v>
      </c>
      <c r="C22">
        <v>235</v>
      </c>
      <c r="K22" s="3" t="s">
        <v>35</v>
      </c>
      <c r="L22" s="5">
        <v>12944500</v>
      </c>
    </row>
    <row r="23" spans="2:12" x14ac:dyDescent="0.3">
      <c r="B23" s="3" t="s">
        <v>21</v>
      </c>
      <c r="C23">
        <v>799</v>
      </c>
    </row>
    <row r="24" spans="2:12" x14ac:dyDescent="0.3">
      <c r="B24" s="3" t="s">
        <v>10</v>
      </c>
      <c r="C24">
        <v>504</v>
      </c>
    </row>
    <row r="25" spans="2:12" x14ac:dyDescent="0.3">
      <c r="B25" s="3" t="s">
        <v>35</v>
      </c>
      <c r="C25">
        <v>4705</v>
      </c>
    </row>
    <row r="35" spans="1:2" x14ac:dyDescent="0.3">
      <c r="A35" s="6" t="s">
        <v>34</v>
      </c>
      <c r="B35" t="s">
        <v>37</v>
      </c>
    </row>
    <row r="36" spans="1:2" x14ac:dyDescent="0.3">
      <c r="A36" s="3" t="s">
        <v>16</v>
      </c>
      <c r="B36" s="5">
        <v>182400</v>
      </c>
    </row>
    <row r="37" spans="1:2" x14ac:dyDescent="0.3">
      <c r="A37" s="3" t="s">
        <v>13</v>
      </c>
      <c r="B37" s="5">
        <v>635000</v>
      </c>
    </row>
    <row r="38" spans="1:2" x14ac:dyDescent="0.3">
      <c r="A38" s="3" t="s">
        <v>26</v>
      </c>
      <c r="B38" s="5">
        <v>235600</v>
      </c>
    </row>
    <row r="39" spans="1:2" x14ac:dyDescent="0.3">
      <c r="A39" s="3" t="s">
        <v>19</v>
      </c>
      <c r="B39" s="5">
        <v>269400</v>
      </c>
    </row>
    <row r="40" spans="1:2" x14ac:dyDescent="0.3">
      <c r="A40" s="3" t="s">
        <v>28</v>
      </c>
      <c r="B40" s="5">
        <v>705000</v>
      </c>
    </row>
    <row r="41" spans="1:2" x14ac:dyDescent="0.3">
      <c r="A41" s="3" t="s">
        <v>21</v>
      </c>
      <c r="B41" s="5">
        <v>799000</v>
      </c>
    </row>
    <row r="42" spans="1:2" x14ac:dyDescent="0.3">
      <c r="A42" s="3" t="s">
        <v>10</v>
      </c>
      <c r="B42" s="5">
        <v>1008000</v>
      </c>
    </row>
    <row r="43" spans="1:2" x14ac:dyDescent="0.3">
      <c r="A43" s="3" t="s">
        <v>35</v>
      </c>
      <c r="B43" s="5">
        <v>3834400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CDDE-54EF-4605-BCA1-9C6B40960A5F}">
  <dimension ref="A1"/>
  <sheetViews>
    <sheetView topLeftCell="A22" workbookViewId="0">
      <selection activeCell="B18" sqref="B18:E31"/>
    </sheetView>
  </sheetViews>
  <sheetFormatPr defaultRowHeight="14.4" x14ac:dyDescent="0.3"/>
  <cols>
    <col min="3" max="3" width="12.44140625" bestFit="1" customWidth="1"/>
    <col min="4" max="4" width="15.554687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F4582-656D-481C-BD74-335CF204B261}">
  <dimension ref="A1"/>
  <sheetViews>
    <sheetView showGridLines="0" showRowColHeaders="0" zoomScale="55" zoomScaleNormal="55" workbookViewId="0">
      <selection activeCell="AC33" sqref="AC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05ED-384B-40D3-9B07-7C446B221DB1}">
  <dimension ref="A4:M12"/>
  <sheetViews>
    <sheetView workbookViewId="0">
      <selection activeCell="I6" sqref="I6"/>
    </sheetView>
  </sheetViews>
  <sheetFormatPr defaultRowHeight="14.4" x14ac:dyDescent="0.3"/>
  <cols>
    <col min="1" max="1" width="12.44140625" bestFit="1" customWidth="1"/>
    <col min="2" max="2" width="16.109375" bestFit="1" customWidth="1"/>
    <col min="12" max="12" width="12.44140625" bestFit="1" customWidth="1"/>
    <col min="13" max="13" width="16.109375" bestFit="1" customWidth="1"/>
  </cols>
  <sheetData>
    <row r="4" spans="1:13" x14ac:dyDescent="0.3">
      <c r="A4" s="6" t="s">
        <v>34</v>
      </c>
      <c r="B4" t="s">
        <v>38</v>
      </c>
      <c r="L4" s="6" t="s">
        <v>34</v>
      </c>
      <c r="M4" t="s">
        <v>38</v>
      </c>
    </row>
    <row r="5" spans="1:13" x14ac:dyDescent="0.3">
      <c r="A5" s="3" t="s">
        <v>12</v>
      </c>
      <c r="B5" s="5">
        <v>3534400</v>
      </c>
      <c r="L5" s="3" t="s">
        <v>16</v>
      </c>
      <c r="M5" s="5">
        <v>547200</v>
      </c>
    </row>
    <row r="6" spans="1:13" x14ac:dyDescent="0.3">
      <c r="A6" s="3" t="s">
        <v>18</v>
      </c>
      <c r="B6" s="5">
        <v>2661400</v>
      </c>
      <c r="L6" s="3" t="s">
        <v>13</v>
      </c>
      <c r="M6" s="5">
        <v>2222500</v>
      </c>
    </row>
    <row r="7" spans="1:13" x14ac:dyDescent="0.3">
      <c r="A7" s="3" t="s">
        <v>15</v>
      </c>
      <c r="B7" s="5">
        <v>2870600</v>
      </c>
      <c r="L7" s="3" t="s">
        <v>26</v>
      </c>
      <c r="M7" s="5">
        <v>706800</v>
      </c>
    </row>
    <row r="8" spans="1:13" x14ac:dyDescent="0.3">
      <c r="A8" s="3" t="s">
        <v>9</v>
      </c>
      <c r="B8" s="5">
        <v>3878100</v>
      </c>
      <c r="L8" s="3" t="s">
        <v>19</v>
      </c>
      <c r="M8" s="5">
        <v>898000</v>
      </c>
    </row>
    <row r="9" spans="1:13" x14ac:dyDescent="0.3">
      <c r="A9" s="3" t="s">
        <v>35</v>
      </c>
      <c r="B9" s="5">
        <v>12944500</v>
      </c>
      <c r="L9" s="3" t="s">
        <v>28</v>
      </c>
      <c r="M9" s="5">
        <v>2350000</v>
      </c>
    </row>
    <row r="10" spans="1:13" x14ac:dyDescent="0.3">
      <c r="L10" s="3" t="s">
        <v>21</v>
      </c>
      <c r="M10" s="5">
        <v>3196000</v>
      </c>
    </row>
    <row r="11" spans="1:13" x14ac:dyDescent="0.3">
      <c r="L11" s="3" t="s">
        <v>10</v>
      </c>
      <c r="M11" s="5">
        <v>3024000</v>
      </c>
    </row>
    <row r="12" spans="1:13" x14ac:dyDescent="0.3">
      <c r="L12" s="3" t="s">
        <v>35</v>
      </c>
      <c r="M12" s="5">
        <v>12944500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1A5A-8263-44A7-AC5F-9F638DF05960}">
  <dimension ref="A3:B14"/>
  <sheetViews>
    <sheetView workbookViewId="0">
      <selection activeCell="J27" sqref="J27"/>
    </sheetView>
  </sheetViews>
  <sheetFormatPr defaultRowHeight="14.4" x14ac:dyDescent="0.3"/>
  <cols>
    <col min="1" max="1" width="12.44140625" bestFit="1" customWidth="1"/>
    <col min="2" max="2" width="15.5546875" bestFit="1" customWidth="1"/>
  </cols>
  <sheetData>
    <row r="3" spans="1:2" x14ac:dyDescent="0.3">
      <c r="A3" s="6" t="s">
        <v>34</v>
      </c>
      <c r="B3" t="s">
        <v>36</v>
      </c>
    </row>
    <row r="4" spans="1:2" x14ac:dyDescent="0.3">
      <c r="A4" s="3" t="s">
        <v>8</v>
      </c>
      <c r="B4">
        <v>475</v>
      </c>
    </row>
    <row r="5" spans="1:2" x14ac:dyDescent="0.3">
      <c r="A5" s="3" t="s">
        <v>25</v>
      </c>
      <c r="B5">
        <v>401</v>
      </c>
    </row>
    <row r="6" spans="1:2" x14ac:dyDescent="0.3">
      <c r="A6" s="3" t="s">
        <v>17</v>
      </c>
      <c r="B6">
        <v>474</v>
      </c>
    </row>
    <row r="7" spans="1:2" x14ac:dyDescent="0.3">
      <c r="A7" s="3" t="s">
        <v>22</v>
      </c>
      <c r="B7">
        <v>427</v>
      </c>
    </row>
    <row r="8" spans="1:2" x14ac:dyDescent="0.3">
      <c r="A8" s="3" t="s">
        <v>24</v>
      </c>
      <c r="B8">
        <v>439</v>
      </c>
    </row>
    <row r="9" spans="1:2" x14ac:dyDescent="0.3">
      <c r="A9" s="3" t="s">
        <v>14</v>
      </c>
      <c r="B9">
        <v>579</v>
      </c>
    </row>
    <row r="10" spans="1:2" x14ac:dyDescent="0.3">
      <c r="A10" s="3" t="s">
        <v>11</v>
      </c>
      <c r="B10">
        <v>479</v>
      </c>
    </row>
    <row r="11" spans="1:2" x14ac:dyDescent="0.3">
      <c r="A11" s="3" t="s">
        <v>20</v>
      </c>
      <c r="B11">
        <v>653</v>
      </c>
    </row>
    <row r="12" spans="1:2" x14ac:dyDescent="0.3">
      <c r="A12" s="3" t="s">
        <v>27</v>
      </c>
      <c r="B12">
        <v>557</v>
      </c>
    </row>
    <row r="13" spans="1:2" x14ac:dyDescent="0.3">
      <c r="A13" s="3" t="s">
        <v>23</v>
      </c>
      <c r="B13">
        <v>221</v>
      </c>
    </row>
    <row r="14" spans="1:2" x14ac:dyDescent="0.3">
      <c r="A14" s="3" t="s">
        <v>35</v>
      </c>
      <c r="B14">
        <v>4705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SalesData</vt:lpstr>
      <vt:lpstr>Sheet1</vt:lpstr>
      <vt:lpstr>Sheet2</vt:lpstr>
      <vt:lpstr>Sheet4</vt:lpstr>
      <vt:lpstr>Sheet6</vt:lpstr>
      <vt:lpstr>Sheet3</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gopalakrishnan s</cp:lastModifiedBy>
  <cp:lastPrinted>2025-12-15T11:04:53Z</cp:lastPrinted>
  <dcterms:created xsi:type="dcterms:W3CDTF">2024-05-30T14:35:02Z</dcterms:created>
  <dcterms:modified xsi:type="dcterms:W3CDTF">2025-12-15T12:06:22Z</dcterms:modified>
</cp:coreProperties>
</file>